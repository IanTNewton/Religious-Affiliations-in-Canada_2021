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7fe6c8272e308a/Documents/"/>
    </mc:Choice>
  </mc:AlternateContent>
  <xr:revisionPtr revIDLastSave="300" documentId="13_ncr:1_{E4D3A6A5-3925-412D-B440-607F83809EE7}" xr6:coauthVersionLast="47" xr6:coauthVersionMax="47" xr10:uidLastSave="{07883784-3106-403C-9836-D2E614CCB5AA}"/>
  <bookViews>
    <workbookView xWindow="11424" yWindow="0" windowWidth="11712" windowHeight="12336" firstSheet="2" activeTab="4" xr2:uid="{F2E6CCFD-35CF-4578-A6E2-42BEC15B5205}"/>
  </bookViews>
  <sheets>
    <sheet name="Manitoba" sheetId="1" r:id="rId1"/>
    <sheet name="Ontario" sheetId="2" r:id="rId2"/>
    <sheet name="Quebec" sheetId="3" r:id="rId3"/>
    <sheet name="New Brunswick" sheetId="4" r:id="rId4"/>
    <sheet name="PEI" sheetId="5" r:id="rId5"/>
  </sheets>
  <definedNames>
    <definedName name="_xlnm._FilterDatabase" localSheetId="0" hidden="1">Manitoba!$A$1:$D$27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7" i="1" l="1"/>
  <c r="AN26" i="1"/>
  <c r="AN25" i="1"/>
  <c r="AN24" i="1"/>
  <c r="AJ27" i="1"/>
  <c r="AJ26" i="1"/>
  <c r="AJ25" i="1"/>
  <c r="AJ24" i="1"/>
  <c r="AF27" i="1"/>
  <c r="AF26" i="1"/>
  <c r="AF25" i="1"/>
  <c r="AF24" i="1"/>
  <c r="AB27" i="1"/>
  <c r="AB26" i="1"/>
  <c r="AB25" i="1"/>
  <c r="AB24" i="1"/>
  <c r="X27" i="1"/>
  <c r="X26" i="1"/>
  <c r="X25" i="1"/>
  <c r="X24" i="1"/>
  <c r="T27" i="1"/>
  <c r="T26" i="1"/>
  <c r="T25" i="1"/>
  <c r="T24" i="1"/>
  <c r="P27" i="1"/>
  <c r="P26" i="1"/>
  <c r="P25" i="1"/>
  <c r="P24" i="1"/>
  <c r="L27" i="1"/>
  <c r="L26" i="1"/>
  <c r="G27" i="1"/>
  <c r="G26" i="1"/>
  <c r="G25" i="1"/>
  <c r="G24" i="1"/>
  <c r="L25" i="1"/>
  <c r="L24" i="1"/>
  <c r="B27" i="1"/>
  <c r="B26" i="1"/>
  <c r="B25" i="1"/>
  <c r="B24" i="1"/>
</calcChain>
</file>

<file path=xl/sharedStrings.xml><?xml version="1.0" encoding="utf-8"?>
<sst xmlns="http://schemas.openxmlformats.org/spreadsheetml/2006/main" count="1256" uniqueCount="61">
  <si>
    <t xml:space="preserve">Religion   </t>
  </si>
  <si>
    <t>Number of</t>
  </si>
  <si>
    <t>Percentage</t>
  </si>
  <si>
    <t>Anglican</t>
  </si>
  <si>
    <t>Baptist</t>
  </si>
  <si>
    <t>Buddhist</t>
  </si>
  <si>
    <t>Catholic</t>
  </si>
  <si>
    <t>Hindu</t>
  </si>
  <si>
    <t>Jehovah Witness</t>
  </si>
  <si>
    <t>Jewish</t>
  </si>
  <si>
    <t>Lutheran</t>
  </si>
  <si>
    <t>Mennonite</t>
  </si>
  <si>
    <t>Mormon [LDS]</t>
  </si>
  <si>
    <t>Muslim</t>
  </si>
  <si>
    <t>No Religion+Secular</t>
  </si>
  <si>
    <t>Orthodox</t>
  </si>
  <si>
    <t>Pentecostal</t>
  </si>
  <si>
    <t>Presbyterian</t>
  </si>
  <si>
    <t>Reformed</t>
  </si>
  <si>
    <t>Sikh</t>
  </si>
  <si>
    <t>NAIS</t>
  </si>
  <si>
    <t>United</t>
  </si>
  <si>
    <t>Religion in Manitoba</t>
  </si>
  <si>
    <t>Age Range (15-24)</t>
  </si>
  <si>
    <t>TOTAL</t>
  </si>
  <si>
    <t>Average</t>
  </si>
  <si>
    <t>Highest</t>
  </si>
  <si>
    <t>Lowest</t>
  </si>
  <si>
    <t>Age Range (25-34)</t>
  </si>
  <si>
    <t>Age Range (35-44)</t>
  </si>
  <si>
    <t xml:space="preserve">Religion </t>
  </si>
  <si>
    <t>No Religion &amp; Secular</t>
  </si>
  <si>
    <t>Age Range (45-54)</t>
  </si>
  <si>
    <t>Age Range (55-64)</t>
  </si>
  <si>
    <t>Age Range (65+)</t>
  </si>
  <si>
    <t xml:space="preserve">Religion         </t>
  </si>
  <si>
    <t>Non-Immigrants</t>
  </si>
  <si>
    <t>Immigrants</t>
  </si>
  <si>
    <t>Males</t>
  </si>
  <si>
    <t>Females</t>
  </si>
  <si>
    <t>Religion</t>
  </si>
  <si>
    <t>No Religion &amp; Secular Prespectives</t>
  </si>
  <si>
    <t>Protestant</t>
  </si>
  <si>
    <t>Al Others</t>
  </si>
  <si>
    <t xml:space="preserve">Sikh, Muslim, Orthodox, Hindu, </t>
  </si>
  <si>
    <t xml:space="preserve">Jewish and Traditional NAIS. </t>
  </si>
  <si>
    <t>Religion of Ontario</t>
  </si>
  <si>
    <t>Overall</t>
  </si>
  <si>
    <t>Aged 15-24</t>
  </si>
  <si>
    <t>Aged 25-34</t>
  </si>
  <si>
    <t>Aged 35-44</t>
  </si>
  <si>
    <t>Aged 45-54</t>
  </si>
  <si>
    <t>Aged 55-64</t>
  </si>
  <si>
    <t>Aged 65+</t>
  </si>
  <si>
    <t xml:space="preserve">Consider including pagan. </t>
  </si>
  <si>
    <t>Quebec</t>
  </si>
  <si>
    <t>Total</t>
  </si>
  <si>
    <t>Orthodox*</t>
  </si>
  <si>
    <t>*: n.o.s + Eastern Orthodox</t>
  </si>
  <si>
    <t>New Brunswick</t>
  </si>
  <si>
    <t>Prince Edward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</si>
</sst>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1" fillId="0" borderId="0" xfId="0" applyFont="1"/>
    <xf numFmtId="3" fontId="2" fillId="2" borderId="0" xfId="0" applyNumberFormat="1" applyFont="1" applyFill="1"/>
    <xf numFmtId="0" fontId="0" fillId="2" borderId="0" xfId="0" applyFill="1"/>
    <xf numFmtId="3" fontId="0" fillId="2" borderId="0" xfId="0" applyNumberForma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4" fillId="0" borderId="0" xfId="0" applyNumberFormat="1" applyFont="1"/>
    <xf numFmtId="3" fontId="5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Manitoba</a:t>
            </a:r>
            <a:r>
              <a:rPr lang="en-CA" baseline="0"/>
              <a:t> (Aged 15-24)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6154068241469816"/>
          <c:y val="0.17171296296296298"/>
          <c:w val="0.82184339457567801"/>
          <c:h val="0.49843686205890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Manitoba!$A$5:$A$23</c:f>
              <c:strCache>
                <c:ptCount val="19"/>
                <c:pt idx="0">
                  <c:v>No Religion+Secular</c:v>
                </c:pt>
                <c:pt idx="1">
                  <c:v>Catholic</c:v>
                </c:pt>
                <c:pt idx="2">
                  <c:v>Sikh</c:v>
                </c:pt>
                <c:pt idx="3">
                  <c:v>United</c:v>
                </c:pt>
                <c:pt idx="4">
                  <c:v>Muslim</c:v>
                </c:pt>
                <c:pt idx="5">
                  <c:v>Hindu</c:v>
                </c:pt>
                <c:pt idx="6">
                  <c:v>Mennonite</c:v>
                </c:pt>
                <c:pt idx="7">
                  <c:v>Anglican</c:v>
                </c:pt>
                <c:pt idx="8">
                  <c:v>Pentecostal</c:v>
                </c:pt>
                <c:pt idx="9">
                  <c:v>Lutheran</c:v>
                </c:pt>
                <c:pt idx="10">
                  <c:v>NAIS</c:v>
                </c:pt>
                <c:pt idx="11">
                  <c:v>Baptist</c:v>
                </c:pt>
                <c:pt idx="12">
                  <c:v>Orthodox</c:v>
                </c:pt>
                <c:pt idx="13">
                  <c:v>Jewish</c:v>
                </c:pt>
                <c:pt idx="14">
                  <c:v>Buddhist</c:v>
                </c:pt>
                <c:pt idx="15">
                  <c:v>Presbyterian</c:v>
                </c:pt>
                <c:pt idx="16">
                  <c:v>Jehovah Witness</c:v>
                </c:pt>
                <c:pt idx="17">
                  <c:v>Reformed</c:v>
                </c:pt>
                <c:pt idx="18">
                  <c:v>Mormon [LDS]</c:v>
                </c:pt>
              </c:strCache>
            </c:strRef>
          </c:cat>
          <c:val>
            <c:numRef>
              <c:f>Manitoba!$B$5:$B$23</c:f>
              <c:numCache>
                <c:formatCode>#,##0</c:formatCode>
                <c:ptCount val="19"/>
                <c:pt idx="0">
                  <c:v>66700</c:v>
                </c:pt>
                <c:pt idx="1">
                  <c:v>31435</c:v>
                </c:pt>
                <c:pt idx="2">
                  <c:v>9055</c:v>
                </c:pt>
                <c:pt idx="3">
                  <c:v>5205</c:v>
                </c:pt>
                <c:pt idx="4">
                  <c:v>4895</c:v>
                </c:pt>
                <c:pt idx="5">
                  <c:v>3670</c:v>
                </c:pt>
                <c:pt idx="6">
                  <c:v>3510</c:v>
                </c:pt>
                <c:pt idx="7">
                  <c:v>3375</c:v>
                </c:pt>
                <c:pt idx="8">
                  <c:v>2840</c:v>
                </c:pt>
                <c:pt idx="9">
                  <c:v>2215</c:v>
                </c:pt>
                <c:pt idx="10">
                  <c:v>1705</c:v>
                </c:pt>
                <c:pt idx="11">
                  <c:v>1570</c:v>
                </c:pt>
                <c:pt idx="12">
                  <c:v>1370</c:v>
                </c:pt>
                <c:pt idx="13">
                  <c:v>1300</c:v>
                </c:pt>
                <c:pt idx="14" formatCode="General">
                  <c:v>830</c:v>
                </c:pt>
                <c:pt idx="15" formatCode="General">
                  <c:v>400</c:v>
                </c:pt>
                <c:pt idx="16" formatCode="General">
                  <c:v>370</c:v>
                </c:pt>
                <c:pt idx="17" formatCode="General">
                  <c:v>270</c:v>
                </c:pt>
                <c:pt idx="18" formatCode="General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0-49E7-9700-9A562E126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37424"/>
        <c:axId val="1450833584"/>
      </c:barChart>
      <c:catAx>
        <c:axId val="14508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33584"/>
        <c:crosses val="autoZero"/>
        <c:auto val="1"/>
        <c:lblAlgn val="ctr"/>
        <c:lblOffset val="100"/>
        <c:noMultiLvlLbl val="0"/>
      </c:catAx>
      <c:valAx>
        <c:axId val="14508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598715</xdr:colOff>
      <xdr:row>15</xdr:row>
      <xdr:rowOff>147865</xdr:rowOff>
    </xdr:from>
    <xdr:to>
      <xdr:col>46</xdr:col>
      <xdr:colOff>90715</xdr:colOff>
      <xdr:row>30</xdr:row>
      <xdr:rowOff>169637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33370B-EA4C-FF64-21F6-08B8A345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7778-26FB-4FF0-B505-49E7101EC537}">
  <dimension ref="A1:AS27"/>
  <sheetViews>
    <sheetView zoomScale="84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Y30" sqref="Y30"/>
    </sheetView>
  </sheetViews>
  <sheetFormatPr defaultRowHeight="14.4" x14ac:dyDescent="0.3"/>
  <cols>
    <col min="1" max="1" width="17.33203125" bestFit="1" customWidth="1"/>
    <col min="2" max="3" width="10.21875" bestFit="1" customWidth="1"/>
    <col min="4" max="4" width="2.6640625" customWidth="1"/>
    <col min="43" max="43" width="29" customWidth="1"/>
    <col min="44" max="44" width="9.6640625" customWidth="1"/>
  </cols>
  <sheetData>
    <row r="1" spans="1:45" x14ac:dyDescent="0.3">
      <c r="A1" s="18" t="s">
        <v>22</v>
      </c>
      <c r="B1" s="16"/>
      <c r="C1" s="16"/>
      <c r="D1" s="16"/>
      <c r="F1" s="18" t="s">
        <v>22</v>
      </c>
      <c r="G1" s="16"/>
      <c r="H1" s="16"/>
      <c r="I1" s="16"/>
      <c r="K1" s="17" t="s">
        <v>22</v>
      </c>
      <c r="L1" s="15"/>
      <c r="M1" s="15"/>
      <c r="O1" s="17" t="s">
        <v>22</v>
      </c>
      <c r="P1" s="17"/>
      <c r="Q1" s="17"/>
      <c r="R1" s="7"/>
      <c r="S1" s="17" t="s">
        <v>22</v>
      </c>
      <c r="T1" s="17"/>
      <c r="U1" s="17"/>
      <c r="V1" s="7"/>
      <c r="W1" s="17" t="s">
        <v>22</v>
      </c>
      <c r="X1" s="17"/>
      <c r="Y1" s="17"/>
      <c r="AA1" s="17" t="s">
        <v>22</v>
      </c>
      <c r="AB1" s="17"/>
      <c r="AC1" s="17"/>
      <c r="AE1" s="17" t="s">
        <v>22</v>
      </c>
      <c r="AF1" s="17"/>
      <c r="AG1" s="17"/>
      <c r="AI1" s="17" t="s">
        <v>22</v>
      </c>
      <c r="AJ1" s="17"/>
      <c r="AK1" s="17"/>
      <c r="AM1" s="17" t="s">
        <v>22</v>
      </c>
      <c r="AN1" s="17"/>
      <c r="AO1" s="17"/>
      <c r="AQ1" s="15"/>
      <c r="AR1" s="15"/>
      <c r="AS1" s="15"/>
    </row>
    <row r="2" spans="1:45" x14ac:dyDescent="0.3">
      <c r="A2" s="16">
        <v>2021</v>
      </c>
      <c r="B2" s="16"/>
      <c r="C2" s="16"/>
      <c r="D2" s="16"/>
      <c r="F2" s="16">
        <v>2021</v>
      </c>
      <c r="G2" s="16"/>
      <c r="H2" s="16"/>
      <c r="I2" s="16"/>
      <c r="K2" s="15">
        <v>2021</v>
      </c>
      <c r="L2" s="15"/>
      <c r="M2" s="15"/>
      <c r="O2" s="15">
        <v>2021</v>
      </c>
      <c r="P2" s="15"/>
      <c r="Q2" s="15"/>
      <c r="S2" s="15">
        <v>2021</v>
      </c>
      <c r="T2" s="15"/>
      <c r="U2" s="15"/>
      <c r="W2" s="15">
        <v>2021</v>
      </c>
      <c r="X2" s="15"/>
      <c r="Y2" s="15"/>
      <c r="AA2" s="15">
        <v>2021</v>
      </c>
      <c r="AB2" s="15"/>
      <c r="AC2" s="15"/>
      <c r="AE2" s="15">
        <v>2021</v>
      </c>
      <c r="AF2" s="15"/>
      <c r="AG2" s="15"/>
      <c r="AI2" s="15">
        <v>2021</v>
      </c>
      <c r="AJ2" s="15"/>
      <c r="AK2" s="15"/>
      <c r="AM2" s="15">
        <v>2021</v>
      </c>
      <c r="AN2" s="15"/>
      <c r="AO2" s="15"/>
      <c r="AQ2" s="15"/>
      <c r="AR2" s="15"/>
      <c r="AS2" s="15"/>
    </row>
    <row r="3" spans="1:45" x14ac:dyDescent="0.3">
      <c r="A3" s="16" t="s">
        <v>23</v>
      </c>
      <c r="B3" s="16"/>
      <c r="C3" s="16"/>
      <c r="D3" s="1"/>
      <c r="F3" s="16" t="s">
        <v>28</v>
      </c>
      <c r="G3" s="16"/>
      <c r="H3" s="16"/>
      <c r="I3" s="1"/>
      <c r="K3" s="15" t="s">
        <v>29</v>
      </c>
      <c r="L3" s="15"/>
      <c r="M3" s="15"/>
      <c r="O3" s="15" t="s">
        <v>32</v>
      </c>
      <c r="P3" s="15"/>
      <c r="Q3" s="15"/>
      <c r="S3" s="15" t="s">
        <v>33</v>
      </c>
      <c r="T3" s="15"/>
      <c r="U3" s="15"/>
      <c r="W3" s="15" t="s">
        <v>34</v>
      </c>
      <c r="X3" s="15"/>
      <c r="Y3" s="15"/>
      <c r="AA3" s="15" t="s">
        <v>36</v>
      </c>
      <c r="AB3" s="15"/>
      <c r="AC3" s="15"/>
      <c r="AE3" s="15" t="s">
        <v>37</v>
      </c>
      <c r="AF3" s="15"/>
      <c r="AG3" s="15"/>
      <c r="AI3" s="15" t="s">
        <v>38</v>
      </c>
      <c r="AJ3" s="15"/>
      <c r="AK3" s="15"/>
      <c r="AM3" s="15" t="s">
        <v>39</v>
      </c>
      <c r="AN3" s="15"/>
      <c r="AO3" s="15"/>
      <c r="AQ3" s="15"/>
      <c r="AR3" s="15"/>
      <c r="AS3" s="15"/>
    </row>
    <row r="4" spans="1:45" x14ac:dyDescent="0.3">
      <c r="A4" s="1" t="s">
        <v>0</v>
      </c>
      <c r="B4" s="1" t="s">
        <v>1</v>
      </c>
      <c r="C4" s="1" t="s">
        <v>2</v>
      </c>
      <c r="F4" s="1" t="s">
        <v>0</v>
      </c>
      <c r="G4" s="1" t="s">
        <v>1</v>
      </c>
      <c r="H4" s="1" t="s">
        <v>2</v>
      </c>
      <c r="K4" t="s">
        <v>30</v>
      </c>
      <c r="L4" t="s">
        <v>1</v>
      </c>
      <c r="O4" t="s">
        <v>30</v>
      </c>
      <c r="P4" t="s">
        <v>1</v>
      </c>
      <c r="S4" t="s">
        <v>0</v>
      </c>
      <c r="T4" t="s">
        <v>1</v>
      </c>
      <c r="W4" t="s">
        <v>35</v>
      </c>
      <c r="X4" t="s">
        <v>1</v>
      </c>
      <c r="AA4" t="s">
        <v>35</v>
      </c>
      <c r="AB4" t="s">
        <v>1</v>
      </c>
      <c r="AE4" t="s">
        <v>35</v>
      </c>
      <c r="AF4" t="s">
        <v>1</v>
      </c>
      <c r="AI4" t="s">
        <v>35</v>
      </c>
      <c r="AJ4" t="s">
        <v>1</v>
      </c>
      <c r="AM4" t="s">
        <v>35</v>
      </c>
      <c r="AN4" t="s">
        <v>1</v>
      </c>
      <c r="AQ4" t="s">
        <v>40</v>
      </c>
      <c r="AR4" t="s">
        <v>1</v>
      </c>
      <c r="AS4" t="s">
        <v>2</v>
      </c>
    </row>
    <row r="5" spans="1:45" x14ac:dyDescent="0.3">
      <c r="A5" t="s">
        <v>14</v>
      </c>
      <c r="B5" s="4">
        <v>66700</v>
      </c>
      <c r="F5" t="s">
        <v>14</v>
      </c>
      <c r="G5" s="4">
        <v>84765</v>
      </c>
      <c r="K5" t="s">
        <v>31</v>
      </c>
      <c r="L5" s="3">
        <v>69180</v>
      </c>
      <c r="O5" t="s">
        <v>31</v>
      </c>
      <c r="P5" s="3">
        <v>55945</v>
      </c>
      <c r="S5" t="s">
        <v>31</v>
      </c>
      <c r="T5" s="3">
        <v>52490</v>
      </c>
      <c r="W5" t="s">
        <v>6</v>
      </c>
      <c r="X5" s="4">
        <v>58805</v>
      </c>
      <c r="AA5" t="s">
        <v>31</v>
      </c>
      <c r="AB5" s="4">
        <v>433280</v>
      </c>
      <c r="AE5" t="s">
        <v>6</v>
      </c>
      <c r="AF5" s="4">
        <v>81275</v>
      </c>
      <c r="AI5" t="s">
        <v>31</v>
      </c>
      <c r="AJ5" s="4">
        <v>254700</v>
      </c>
      <c r="AM5" t="s">
        <v>31</v>
      </c>
      <c r="AN5" s="4">
        <v>225615</v>
      </c>
      <c r="AQ5" t="s">
        <v>41</v>
      </c>
      <c r="AR5" s="8">
        <v>480320</v>
      </c>
    </row>
    <row r="6" spans="1:45" x14ac:dyDescent="0.3">
      <c r="A6" t="s">
        <v>6</v>
      </c>
      <c r="B6" s="4">
        <v>31435</v>
      </c>
      <c r="F6" t="s">
        <v>6</v>
      </c>
      <c r="G6" s="4">
        <v>28005</v>
      </c>
      <c r="K6" t="s">
        <v>6</v>
      </c>
      <c r="L6" s="4">
        <v>35415</v>
      </c>
      <c r="O6" t="s">
        <v>6</v>
      </c>
      <c r="P6" s="4">
        <v>37440</v>
      </c>
      <c r="S6" t="s">
        <v>6</v>
      </c>
      <c r="T6" s="4">
        <v>44595</v>
      </c>
      <c r="W6" t="s">
        <v>31</v>
      </c>
      <c r="X6" s="4">
        <v>43835</v>
      </c>
      <c r="AA6" t="s">
        <v>6</v>
      </c>
      <c r="AB6" s="4">
        <v>192065</v>
      </c>
      <c r="AE6" t="s">
        <v>31</v>
      </c>
      <c r="AF6" s="4">
        <v>38985</v>
      </c>
      <c r="AI6" t="s">
        <v>6</v>
      </c>
      <c r="AJ6" s="4">
        <v>132290</v>
      </c>
      <c r="AM6" t="s">
        <v>6</v>
      </c>
      <c r="AN6" s="4">
        <v>144635</v>
      </c>
      <c r="AQ6" t="s">
        <v>6</v>
      </c>
      <c r="AR6" s="4">
        <v>276925</v>
      </c>
    </row>
    <row r="7" spans="1:45" x14ac:dyDescent="0.3">
      <c r="A7" t="s">
        <v>19</v>
      </c>
      <c r="B7" s="4">
        <v>9055</v>
      </c>
      <c r="F7" t="s">
        <v>19</v>
      </c>
      <c r="G7" s="4">
        <v>8915</v>
      </c>
      <c r="K7" t="s">
        <v>19</v>
      </c>
      <c r="L7" s="4">
        <v>5545</v>
      </c>
      <c r="O7" t="s">
        <v>21</v>
      </c>
      <c r="P7" s="4">
        <v>7765</v>
      </c>
      <c r="S7" t="s">
        <v>21</v>
      </c>
      <c r="T7" s="4">
        <v>14945</v>
      </c>
      <c r="W7" t="s">
        <v>21</v>
      </c>
      <c r="X7" s="4">
        <v>31585</v>
      </c>
      <c r="AA7" t="s">
        <v>21</v>
      </c>
      <c r="AB7" s="4">
        <v>73425</v>
      </c>
      <c r="AE7" t="s">
        <v>19</v>
      </c>
      <c r="AF7" s="4">
        <v>20295</v>
      </c>
      <c r="AI7" t="s">
        <v>21</v>
      </c>
      <c r="AJ7" s="4">
        <v>33275</v>
      </c>
      <c r="AM7" t="s">
        <v>21</v>
      </c>
      <c r="AN7" s="4">
        <v>42150</v>
      </c>
      <c r="AQ7" t="s">
        <v>42</v>
      </c>
      <c r="AR7" s="9">
        <v>408855</v>
      </c>
    </row>
    <row r="8" spans="1:45" x14ac:dyDescent="0.3">
      <c r="A8" t="s">
        <v>21</v>
      </c>
      <c r="B8" s="4">
        <v>5205</v>
      </c>
      <c r="E8" s="4"/>
      <c r="F8" t="s">
        <v>7</v>
      </c>
      <c r="G8" s="4">
        <v>4860</v>
      </c>
      <c r="K8" t="s">
        <v>21</v>
      </c>
      <c r="L8" s="4">
        <v>5400</v>
      </c>
      <c r="O8" s="2" t="s">
        <v>3</v>
      </c>
      <c r="P8" s="4">
        <v>5095</v>
      </c>
      <c r="S8" s="2" t="s">
        <v>3</v>
      </c>
      <c r="T8" s="4">
        <v>7985</v>
      </c>
      <c r="W8" s="2" t="s">
        <v>3</v>
      </c>
      <c r="X8" s="4">
        <v>16085</v>
      </c>
      <c r="AA8" s="2" t="s">
        <v>3</v>
      </c>
      <c r="AB8" s="4">
        <v>39030</v>
      </c>
      <c r="AE8" t="s">
        <v>13</v>
      </c>
      <c r="AF8" s="4">
        <v>16780</v>
      </c>
      <c r="AI8" s="2" t="s">
        <v>3</v>
      </c>
      <c r="AJ8" s="4">
        <v>18960</v>
      </c>
      <c r="AM8" s="2" t="s">
        <v>3</v>
      </c>
      <c r="AN8" s="4">
        <v>23700</v>
      </c>
      <c r="AQ8" t="s">
        <v>43</v>
      </c>
      <c r="AR8" s="10">
        <v>141090</v>
      </c>
    </row>
    <row r="9" spans="1:45" x14ac:dyDescent="0.3">
      <c r="A9" t="s">
        <v>13</v>
      </c>
      <c r="B9" s="4">
        <v>4895</v>
      </c>
      <c r="F9" t="s">
        <v>13</v>
      </c>
      <c r="G9" s="4">
        <v>4780</v>
      </c>
      <c r="K9" t="s">
        <v>13</v>
      </c>
      <c r="L9" s="4">
        <v>3920</v>
      </c>
      <c r="O9" t="s">
        <v>10</v>
      </c>
      <c r="P9" s="4">
        <v>3575</v>
      </c>
      <c r="S9" t="s">
        <v>10</v>
      </c>
      <c r="T9" s="4">
        <v>5810</v>
      </c>
      <c r="W9" t="s">
        <v>10</v>
      </c>
      <c r="X9" s="4">
        <v>9960</v>
      </c>
      <c r="AA9" t="s">
        <v>11</v>
      </c>
      <c r="AB9" s="4">
        <v>25740</v>
      </c>
      <c r="AE9" t="s">
        <v>7</v>
      </c>
      <c r="AF9" s="4">
        <v>11615</v>
      </c>
      <c r="AI9" t="s">
        <v>19</v>
      </c>
      <c r="AJ9" s="4">
        <v>18625</v>
      </c>
      <c r="AM9" t="s">
        <v>19</v>
      </c>
      <c r="AN9" s="4">
        <v>16850</v>
      </c>
      <c r="AQ9" t="s">
        <v>24</v>
      </c>
      <c r="AR9" s="8">
        <v>1307190</v>
      </c>
    </row>
    <row r="10" spans="1:45" x14ac:dyDescent="0.3">
      <c r="A10" t="s">
        <v>7</v>
      </c>
      <c r="B10" s="4">
        <v>3670</v>
      </c>
      <c r="F10" t="s">
        <v>21</v>
      </c>
      <c r="G10" s="4">
        <v>3620</v>
      </c>
      <c r="K10" s="2" t="s">
        <v>3</v>
      </c>
      <c r="L10" s="4">
        <v>3185</v>
      </c>
      <c r="O10" t="s">
        <v>11</v>
      </c>
      <c r="P10" s="4">
        <v>3470</v>
      </c>
      <c r="S10" t="s">
        <v>11</v>
      </c>
      <c r="T10" s="4">
        <v>4945</v>
      </c>
      <c r="W10" t="s">
        <v>11</v>
      </c>
      <c r="X10" s="4">
        <v>7550</v>
      </c>
      <c r="AA10" t="s">
        <v>10</v>
      </c>
      <c r="AB10" s="4">
        <v>24935</v>
      </c>
      <c r="AE10" t="s">
        <v>16</v>
      </c>
      <c r="AF10" s="4">
        <v>6815</v>
      </c>
      <c r="AI10" t="s">
        <v>11</v>
      </c>
      <c r="AJ10" s="4">
        <v>14305</v>
      </c>
      <c r="AM10" t="s">
        <v>11</v>
      </c>
      <c r="AN10" s="4">
        <v>15500</v>
      </c>
    </row>
    <row r="11" spans="1:45" x14ac:dyDescent="0.3">
      <c r="A11" t="s">
        <v>11</v>
      </c>
      <c r="B11" s="4">
        <v>3510</v>
      </c>
      <c r="E11" s="5"/>
      <c r="F11" t="s">
        <v>11</v>
      </c>
      <c r="G11" s="4">
        <v>2730</v>
      </c>
      <c r="K11" t="s">
        <v>7</v>
      </c>
      <c r="L11" s="4">
        <v>2995</v>
      </c>
      <c r="O11" t="s">
        <v>13</v>
      </c>
      <c r="P11" s="4">
        <v>2770</v>
      </c>
      <c r="S11" t="s">
        <v>15</v>
      </c>
      <c r="T11" s="6">
        <v>2390</v>
      </c>
      <c r="W11" t="s">
        <v>4</v>
      </c>
      <c r="X11" s="4">
        <v>3695</v>
      </c>
      <c r="AA11" t="s">
        <v>16</v>
      </c>
      <c r="AB11" s="4">
        <v>12460</v>
      </c>
      <c r="AE11" t="s">
        <v>15</v>
      </c>
      <c r="AF11" s="4">
        <v>6725</v>
      </c>
      <c r="AI11" t="s">
        <v>13</v>
      </c>
      <c r="AJ11" s="4">
        <v>13960</v>
      </c>
      <c r="AM11" t="s">
        <v>10</v>
      </c>
      <c r="AN11" s="4">
        <v>15115</v>
      </c>
    </row>
    <row r="12" spans="1:45" x14ac:dyDescent="0.3">
      <c r="A12" s="2" t="s">
        <v>3</v>
      </c>
      <c r="B12" s="4">
        <v>3375</v>
      </c>
      <c r="F12" s="2" t="s">
        <v>3</v>
      </c>
      <c r="G12" s="4">
        <v>2480</v>
      </c>
      <c r="K12" t="s">
        <v>11</v>
      </c>
      <c r="L12" s="4">
        <v>2780</v>
      </c>
      <c r="O12" t="s">
        <v>16</v>
      </c>
      <c r="P12" s="4">
        <v>2540</v>
      </c>
      <c r="S12" t="s">
        <v>16</v>
      </c>
      <c r="T12" s="4">
        <v>2185</v>
      </c>
      <c r="W12" t="s">
        <v>15</v>
      </c>
      <c r="X12" s="4">
        <v>3525</v>
      </c>
      <c r="AA12" t="s">
        <v>4</v>
      </c>
      <c r="AB12" s="4">
        <v>10365</v>
      </c>
      <c r="AE12" t="s">
        <v>5</v>
      </c>
      <c r="AF12" s="4">
        <v>4380</v>
      </c>
      <c r="AI12" t="s">
        <v>10</v>
      </c>
      <c r="AJ12" s="4">
        <v>12665</v>
      </c>
      <c r="AM12" t="s">
        <v>13</v>
      </c>
      <c r="AN12" s="4">
        <v>12470</v>
      </c>
    </row>
    <row r="13" spans="1:45" x14ac:dyDescent="0.3">
      <c r="A13" t="s">
        <v>16</v>
      </c>
      <c r="B13" s="4">
        <v>2840</v>
      </c>
      <c r="F13" t="s">
        <v>16</v>
      </c>
      <c r="G13" s="4">
        <v>1915</v>
      </c>
      <c r="K13" t="s">
        <v>16</v>
      </c>
      <c r="L13" s="4">
        <v>2625</v>
      </c>
      <c r="O13" t="s">
        <v>19</v>
      </c>
      <c r="P13" s="4">
        <v>2505</v>
      </c>
      <c r="S13" t="s">
        <v>4</v>
      </c>
      <c r="T13" s="4">
        <v>2070</v>
      </c>
      <c r="W13" t="s">
        <v>9</v>
      </c>
      <c r="X13" s="4">
        <v>3145</v>
      </c>
      <c r="AA13" t="s">
        <v>20</v>
      </c>
      <c r="AB13" s="4">
        <v>10160</v>
      </c>
      <c r="AE13" t="s">
        <v>11</v>
      </c>
      <c r="AF13" s="4">
        <v>4005</v>
      </c>
      <c r="AI13" t="s">
        <v>7</v>
      </c>
      <c r="AJ13" s="4">
        <v>10005</v>
      </c>
      <c r="AM13" t="s">
        <v>16</v>
      </c>
      <c r="AN13" s="4">
        <v>10480</v>
      </c>
      <c r="AQ13" t="s">
        <v>44</v>
      </c>
    </row>
    <row r="14" spans="1:45" x14ac:dyDescent="0.3">
      <c r="A14" t="s">
        <v>10</v>
      </c>
      <c r="B14" s="4">
        <v>2215</v>
      </c>
      <c r="F14" t="s">
        <v>10</v>
      </c>
      <c r="G14" s="4">
        <v>1810</v>
      </c>
      <c r="K14" t="s">
        <v>15</v>
      </c>
      <c r="L14" s="3">
        <v>2255</v>
      </c>
      <c r="O14" t="s">
        <v>15</v>
      </c>
      <c r="P14" s="6">
        <v>2155</v>
      </c>
      <c r="S14" t="s">
        <v>9</v>
      </c>
      <c r="T14" s="4">
        <v>1610</v>
      </c>
      <c r="W14" t="s">
        <v>16</v>
      </c>
      <c r="X14" s="4">
        <v>2910</v>
      </c>
      <c r="AA14" t="s">
        <v>15</v>
      </c>
      <c r="AB14" s="4">
        <v>8595</v>
      </c>
      <c r="AE14" t="s">
        <v>4</v>
      </c>
      <c r="AF14" s="4">
        <v>3705</v>
      </c>
      <c r="AI14" t="s">
        <v>16</v>
      </c>
      <c r="AJ14" s="4">
        <v>9460</v>
      </c>
      <c r="AM14" t="s">
        <v>15</v>
      </c>
      <c r="AN14" s="4">
        <v>9205</v>
      </c>
      <c r="AQ14" s="8" t="s">
        <v>45</v>
      </c>
    </row>
    <row r="15" spans="1:45" x14ac:dyDescent="0.3">
      <c r="A15" t="s">
        <v>20</v>
      </c>
      <c r="B15" s="4">
        <v>1705</v>
      </c>
      <c r="F15" t="s">
        <v>20</v>
      </c>
      <c r="G15" s="4">
        <v>1345</v>
      </c>
      <c r="K15" t="s">
        <v>10</v>
      </c>
      <c r="L15" s="4">
        <v>2165</v>
      </c>
      <c r="O15" t="s">
        <v>4</v>
      </c>
      <c r="P15" s="4">
        <v>1810</v>
      </c>
      <c r="S15" t="s">
        <v>13</v>
      </c>
      <c r="T15" s="4">
        <v>1495</v>
      </c>
      <c r="W15" t="s">
        <v>17</v>
      </c>
      <c r="X15" s="4">
        <v>2460</v>
      </c>
      <c r="AA15" t="s">
        <v>9</v>
      </c>
      <c r="AB15" s="4">
        <v>8360</v>
      </c>
      <c r="AE15" s="2" t="s">
        <v>3</v>
      </c>
      <c r="AF15" s="4">
        <v>3580</v>
      </c>
      <c r="AI15" t="s">
        <v>15</v>
      </c>
      <c r="AJ15" s="4">
        <v>7330</v>
      </c>
      <c r="AM15" t="s">
        <v>7</v>
      </c>
      <c r="AN15" s="4">
        <v>8350</v>
      </c>
      <c r="AQ15" s="4"/>
    </row>
    <row r="16" spans="1:45" x14ac:dyDescent="0.3">
      <c r="A16" t="s">
        <v>4</v>
      </c>
      <c r="B16" s="4">
        <v>1570</v>
      </c>
      <c r="F16" t="s">
        <v>15</v>
      </c>
      <c r="G16" s="3">
        <v>1340</v>
      </c>
      <c r="K16" t="s">
        <v>4</v>
      </c>
      <c r="L16" s="4">
        <v>1665</v>
      </c>
      <c r="O16" t="s">
        <v>7</v>
      </c>
      <c r="P16" s="4">
        <v>1620</v>
      </c>
      <c r="S16" t="s">
        <v>19</v>
      </c>
      <c r="T16" s="4">
        <v>1405</v>
      </c>
      <c r="W16" t="s">
        <v>19</v>
      </c>
      <c r="X16" s="4">
        <v>1535</v>
      </c>
      <c r="AA16" t="s">
        <v>13</v>
      </c>
      <c r="AB16" s="4">
        <v>6780</v>
      </c>
      <c r="AE16" t="s">
        <v>9</v>
      </c>
      <c r="AF16" s="4">
        <v>3155</v>
      </c>
      <c r="AI16" t="s">
        <v>4</v>
      </c>
      <c r="AJ16" s="4">
        <v>6770</v>
      </c>
      <c r="AM16" t="s">
        <v>4</v>
      </c>
      <c r="AN16" s="4">
        <v>7490</v>
      </c>
      <c r="AQ16" s="9"/>
    </row>
    <row r="17" spans="1:43" x14ac:dyDescent="0.3">
      <c r="A17" t="s">
        <v>15</v>
      </c>
      <c r="B17" s="3">
        <v>1370</v>
      </c>
      <c r="F17" t="s">
        <v>4</v>
      </c>
      <c r="G17" s="4">
        <v>1200</v>
      </c>
      <c r="K17" t="s">
        <v>9</v>
      </c>
      <c r="L17" s="4">
        <v>1320</v>
      </c>
      <c r="O17" t="s">
        <v>9</v>
      </c>
      <c r="P17" s="4">
        <v>1270</v>
      </c>
      <c r="S17" t="s">
        <v>5</v>
      </c>
      <c r="T17" s="4">
        <v>1260</v>
      </c>
      <c r="W17" t="s">
        <v>5</v>
      </c>
      <c r="X17" s="4">
        <v>1170</v>
      </c>
      <c r="AA17" t="s">
        <v>19</v>
      </c>
      <c r="AB17" s="4">
        <v>6250</v>
      </c>
      <c r="AE17" t="s">
        <v>10</v>
      </c>
      <c r="AF17" s="4">
        <v>2770</v>
      </c>
      <c r="AI17" t="s">
        <v>9</v>
      </c>
      <c r="AJ17" s="4">
        <v>5685</v>
      </c>
      <c r="AM17" t="s">
        <v>9</v>
      </c>
      <c r="AN17" s="4">
        <v>5875</v>
      </c>
      <c r="AQ17" s="10"/>
    </row>
    <row r="18" spans="1:43" x14ac:dyDescent="0.3">
      <c r="A18" t="s">
        <v>9</v>
      </c>
      <c r="B18" s="4">
        <v>1300</v>
      </c>
      <c r="F18" t="s">
        <v>9</v>
      </c>
      <c r="G18" s="4">
        <v>1170</v>
      </c>
      <c r="K18" t="s">
        <v>20</v>
      </c>
      <c r="L18" s="4">
        <v>1305</v>
      </c>
      <c r="O18" t="s">
        <v>5</v>
      </c>
      <c r="P18" s="4">
        <v>1140</v>
      </c>
      <c r="S18" t="s">
        <v>17</v>
      </c>
      <c r="T18" s="4">
        <v>1130</v>
      </c>
      <c r="W18" t="s">
        <v>7</v>
      </c>
      <c r="X18" s="4">
        <v>1135</v>
      </c>
      <c r="AA18" t="s">
        <v>17</v>
      </c>
      <c r="AB18" s="4">
        <v>4470</v>
      </c>
      <c r="AE18" t="s">
        <v>21</v>
      </c>
      <c r="AF18" s="4">
        <v>1955</v>
      </c>
      <c r="AI18" t="s">
        <v>20</v>
      </c>
      <c r="AJ18" s="4">
        <v>4735</v>
      </c>
      <c r="AM18" t="s">
        <v>20</v>
      </c>
      <c r="AN18" s="4">
        <v>5455</v>
      </c>
      <c r="AQ18" s="3"/>
    </row>
    <row r="19" spans="1:43" x14ac:dyDescent="0.3">
      <c r="A19" t="s">
        <v>5</v>
      </c>
      <c r="B19" s="5">
        <v>830</v>
      </c>
      <c r="F19" t="s">
        <v>5</v>
      </c>
      <c r="G19" s="4">
        <v>1015</v>
      </c>
      <c r="K19" t="s">
        <v>5</v>
      </c>
      <c r="L19" s="4">
        <v>1210</v>
      </c>
      <c r="O19" t="s">
        <v>20</v>
      </c>
      <c r="P19" s="4">
        <v>1125</v>
      </c>
      <c r="S19" t="s">
        <v>7</v>
      </c>
      <c r="T19" s="5">
        <v>895</v>
      </c>
      <c r="W19" t="s">
        <v>8</v>
      </c>
      <c r="X19" s="4">
        <v>1120</v>
      </c>
      <c r="AA19" t="s">
        <v>7</v>
      </c>
      <c r="AB19" s="4">
        <v>2710</v>
      </c>
      <c r="AE19" t="s">
        <v>8</v>
      </c>
      <c r="AF19" s="4">
        <v>1300</v>
      </c>
      <c r="AI19" t="s">
        <v>5</v>
      </c>
      <c r="AJ19" s="4">
        <v>3365</v>
      </c>
      <c r="AM19" t="s">
        <v>5</v>
      </c>
      <c r="AN19" s="4">
        <v>4080</v>
      </c>
    </row>
    <row r="20" spans="1:43" x14ac:dyDescent="0.3">
      <c r="A20" t="s">
        <v>17</v>
      </c>
      <c r="B20" s="5">
        <v>400</v>
      </c>
      <c r="F20" t="s">
        <v>8</v>
      </c>
      <c r="G20" s="5">
        <v>370</v>
      </c>
      <c r="K20" t="s">
        <v>8</v>
      </c>
      <c r="L20" s="5">
        <v>565</v>
      </c>
      <c r="O20" t="s">
        <v>17</v>
      </c>
      <c r="P20" s="5">
        <v>580</v>
      </c>
      <c r="S20" t="s">
        <v>20</v>
      </c>
      <c r="T20" s="5">
        <v>890</v>
      </c>
      <c r="W20" t="s">
        <v>13</v>
      </c>
      <c r="X20" s="5">
        <v>910</v>
      </c>
      <c r="AA20" t="s">
        <v>8</v>
      </c>
      <c r="AB20" s="4">
        <v>2605</v>
      </c>
      <c r="AE20" t="s">
        <v>17</v>
      </c>
      <c r="AF20" s="4">
        <v>1145</v>
      </c>
      <c r="AI20" t="s">
        <v>17</v>
      </c>
      <c r="AJ20" s="4">
        <v>2585</v>
      </c>
      <c r="AM20" t="s">
        <v>17</v>
      </c>
      <c r="AN20" s="4">
        <v>3140</v>
      </c>
    </row>
    <row r="21" spans="1:43" x14ac:dyDescent="0.3">
      <c r="A21" t="s">
        <v>8</v>
      </c>
      <c r="B21" s="5">
        <v>370</v>
      </c>
      <c r="F21" t="s">
        <v>17</v>
      </c>
      <c r="G21" s="5">
        <v>305</v>
      </c>
      <c r="K21" t="s">
        <v>17</v>
      </c>
      <c r="L21" s="5">
        <v>445</v>
      </c>
      <c r="O21" t="s">
        <v>8</v>
      </c>
      <c r="P21" s="5">
        <v>550</v>
      </c>
      <c r="S21" t="s">
        <v>8</v>
      </c>
      <c r="T21" s="5">
        <v>565</v>
      </c>
      <c r="W21" t="s">
        <v>20</v>
      </c>
      <c r="X21" s="5">
        <v>520</v>
      </c>
      <c r="AA21" t="s">
        <v>5</v>
      </c>
      <c r="AB21" s="4">
        <v>2455</v>
      </c>
      <c r="AE21" t="s">
        <v>12</v>
      </c>
      <c r="AF21" s="5">
        <v>455</v>
      </c>
      <c r="AI21" t="s">
        <v>8</v>
      </c>
      <c r="AJ21" s="4">
        <v>1765</v>
      </c>
      <c r="AM21" t="s">
        <v>8</v>
      </c>
      <c r="AN21" s="4">
        <v>2220</v>
      </c>
    </row>
    <row r="22" spans="1:43" x14ac:dyDescent="0.3">
      <c r="A22" t="s">
        <v>18</v>
      </c>
      <c r="B22" s="5">
        <v>270</v>
      </c>
      <c r="F22" t="s">
        <v>18</v>
      </c>
      <c r="G22" s="5">
        <v>285</v>
      </c>
      <c r="K22" t="s">
        <v>18</v>
      </c>
      <c r="L22" s="5">
        <v>290</v>
      </c>
      <c r="O22" t="s">
        <v>18</v>
      </c>
      <c r="P22" s="5">
        <v>260</v>
      </c>
      <c r="S22" t="s">
        <v>18</v>
      </c>
      <c r="T22" s="5">
        <v>260</v>
      </c>
      <c r="W22" t="s">
        <v>12</v>
      </c>
      <c r="X22" s="5">
        <v>345</v>
      </c>
      <c r="AA22" t="s">
        <v>18</v>
      </c>
      <c r="AB22" s="4">
        <v>1990</v>
      </c>
      <c r="AE22" t="s">
        <v>18</v>
      </c>
      <c r="AF22" s="5">
        <v>430</v>
      </c>
      <c r="AI22" t="s">
        <v>18</v>
      </c>
      <c r="AJ22" s="4">
        <v>1210</v>
      </c>
      <c r="AM22" t="s">
        <v>18</v>
      </c>
      <c r="AN22" s="4">
        <v>1220</v>
      </c>
    </row>
    <row r="23" spans="1:43" x14ac:dyDescent="0.3">
      <c r="A23" t="s">
        <v>12</v>
      </c>
      <c r="B23" s="5">
        <v>165</v>
      </c>
      <c r="F23" t="s">
        <v>12</v>
      </c>
      <c r="G23" s="5">
        <v>175</v>
      </c>
      <c r="K23" t="s">
        <v>12</v>
      </c>
      <c r="L23" s="5">
        <v>225</v>
      </c>
      <c r="O23" t="s">
        <v>12</v>
      </c>
      <c r="P23" s="5">
        <v>170</v>
      </c>
      <c r="S23" t="s">
        <v>12</v>
      </c>
      <c r="T23" s="5">
        <v>230</v>
      </c>
      <c r="W23" t="s">
        <v>18</v>
      </c>
      <c r="X23" s="5">
        <v>310</v>
      </c>
      <c r="AA23" t="s">
        <v>12</v>
      </c>
      <c r="AB23" s="4">
        <v>1120</v>
      </c>
      <c r="AE23" t="s">
        <v>20</v>
      </c>
      <c r="AF23" s="5">
        <v>25</v>
      </c>
      <c r="AI23" t="s">
        <v>12</v>
      </c>
      <c r="AJ23" s="5">
        <v>815</v>
      </c>
      <c r="AM23" t="s">
        <v>12</v>
      </c>
      <c r="AN23" s="5">
        <v>830</v>
      </c>
    </row>
    <row r="24" spans="1:43" x14ac:dyDescent="0.3">
      <c r="A24" t="s">
        <v>24</v>
      </c>
      <c r="B24" s="3">
        <f>SUM(B5:B23)</f>
        <v>140880</v>
      </c>
      <c r="F24" t="s">
        <v>24</v>
      </c>
      <c r="G24" s="3">
        <f>SUM(G5:G23)</f>
        <v>151085</v>
      </c>
      <c r="K24" t="s">
        <v>24</v>
      </c>
      <c r="L24" s="3">
        <f>SUM(L5:L23)</f>
        <v>142490</v>
      </c>
      <c r="O24" t="s">
        <v>24</v>
      </c>
      <c r="P24" s="3">
        <f>SUM(P6:P23)</f>
        <v>75840</v>
      </c>
      <c r="S24" t="s">
        <v>24</v>
      </c>
      <c r="T24" s="3">
        <f>SUM(T6:T23)</f>
        <v>94665</v>
      </c>
      <c r="W24" t="s">
        <v>24</v>
      </c>
      <c r="X24" s="3">
        <f>SUM(X6:X23)</f>
        <v>131795</v>
      </c>
      <c r="AA24" t="s">
        <v>24</v>
      </c>
      <c r="AB24" s="3">
        <f>SUM(AB6:AB23)</f>
        <v>433515</v>
      </c>
      <c r="AE24" t="s">
        <v>24</v>
      </c>
      <c r="AF24" s="3">
        <f>SUM(AF6:AF23)</f>
        <v>128120</v>
      </c>
      <c r="AI24" t="s">
        <v>24</v>
      </c>
      <c r="AJ24" s="3">
        <f>SUM(AJ6:AJ23)</f>
        <v>297805</v>
      </c>
      <c r="AM24" t="s">
        <v>24</v>
      </c>
      <c r="AN24" s="3">
        <f>SUM(AN6:AN23)</f>
        <v>328765</v>
      </c>
    </row>
    <row r="25" spans="1:43" x14ac:dyDescent="0.3">
      <c r="A25" t="s">
        <v>25</v>
      </c>
      <c r="B25" s="3">
        <f>AVERAGE(B5:B23)</f>
        <v>7414.7368421052633</v>
      </c>
      <c r="F25" t="s">
        <v>25</v>
      </c>
      <c r="G25" s="3">
        <f>AVERAGE(G5:G23)</f>
        <v>7951.8421052631575</v>
      </c>
      <c r="K25" t="s">
        <v>25</v>
      </c>
      <c r="L25" s="3">
        <f>AVERAGE(L5:L23)</f>
        <v>7499.4736842105267</v>
      </c>
      <c r="O25" t="s">
        <v>25</v>
      </c>
      <c r="P25" s="3">
        <f>AVERAGE(P6:P23)</f>
        <v>4213.333333333333</v>
      </c>
      <c r="S25" t="s">
        <v>25</v>
      </c>
      <c r="T25" s="3">
        <f>AVERAGE(T6:T23)</f>
        <v>5259.166666666667</v>
      </c>
      <c r="W25" t="s">
        <v>25</v>
      </c>
      <c r="X25" s="3">
        <f>AVERAGE(X6:X23)</f>
        <v>7321.9444444444443</v>
      </c>
      <c r="AA25" t="s">
        <v>25</v>
      </c>
      <c r="AB25" s="3">
        <f>AVERAGE(AB6:AB23)</f>
        <v>24084.166666666668</v>
      </c>
      <c r="AE25" t="s">
        <v>25</v>
      </c>
      <c r="AF25" s="3">
        <f>AVERAGE(AF6:AF23)</f>
        <v>7117.7777777777774</v>
      </c>
      <c r="AI25" t="s">
        <v>25</v>
      </c>
      <c r="AJ25" s="3">
        <f>AVERAGE(AJ6:AJ23)</f>
        <v>16544.722222222223</v>
      </c>
      <c r="AM25" t="s">
        <v>25</v>
      </c>
      <c r="AN25" s="3">
        <f>AVERAGE(AN6:AN23)</f>
        <v>18264.722222222223</v>
      </c>
    </row>
    <row r="26" spans="1:43" x14ac:dyDescent="0.3">
      <c r="A26" t="s">
        <v>26</v>
      </c>
      <c r="B26" s="3">
        <f>MAX(B5:B23)</f>
        <v>66700</v>
      </c>
      <c r="F26" t="s">
        <v>26</v>
      </c>
      <c r="G26" s="3">
        <f>MAX(G5:G23)</f>
        <v>84765</v>
      </c>
      <c r="K26" t="s">
        <v>26</v>
      </c>
      <c r="L26" s="3">
        <f>MAX(L5:L23)</f>
        <v>69180</v>
      </c>
      <c r="O26" t="s">
        <v>26</v>
      </c>
      <c r="P26" s="3">
        <f>MAX(P6:P23)</f>
        <v>37440</v>
      </c>
      <c r="S26" t="s">
        <v>26</v>
      </c>
      <c r="T26" s="3">
        <f>MAX(T6:T23)</f>
        <v>44595</v>
      </c>
      <c r="W26" t="s">
        <v>26</v>
      </c>
      <c r="X26" s="3">
        <f>MAX(X6:X23)</f>
        <v>43835</v>
      </c>
      <c r="AA26" t="s">
        <v>26</v>
      </c>
      <c r="AB26" s="3">
        <f>MAX(AB6:AB23)</f>
        <v>192065</v>
      </c>
      <c r="AE26" t="s">
        <v>26</v>
      </c>
      <c r="AF26" s="3">
        <f>MAX(AF6:AF23)</f>
        <v>38985</v>
      </c>
      <c r="AI26" t="s">
        <v>26</v>
      </c>
      <c r="AJ26" s="3">
        <f>MAX(AJ6:AJ23)</f>
        <v>132290</v>
      </c>
      <c r="AM26" t="s">
        <v>26</v>
      </c>
      <c r="AN26" s="3">
        <f>MAX(AN6:AN23)</f>
        <v>144635</v>
      </c>
    </row>
    <row r="27" spans="1:43" x14ac:dyDescent="0.3">
      <c r="A27" t="s">
        <v>27</v>
      </c>
      <c r="B27" s="3">
        <f>MIN(B5:B23)</f>
        <v>165</v>
      </c>
      <c r="F27" t="s">
        <v>27</v>
      </c>
      <c r="G27" s="3">
        <f>MIN(G5:G23)</f>
        <v>175</v>
      </c>
      <c r="K27" t="s">
        <v>27</v>
      </c>
      <c r="L27" s="3">
        <f>MIN(L5:L23)</f>
        <v>225</v>
      </c>
      <c r="O27" t="s">
        <v>27</v>
      </c>
      <c r="P27" s="3">
        <f>MIN(P6:P23)</f>
        <v>170</v>
      </c>
      <c r="S27" t="s">
        <v>27</v>
      </c>
      <c r="T27" s="3">
        <f>MIN(T6:T23)</f>
        <v>230</v>
      </c>
      <c r="W27" t="s">
        <v>27</v>
      </c>
      <c r="X27" s="3">
        <f>MIN(X6:X23)</f>
        <v>310</v>
      </c>
      <c r="AA27" t="s">
        <v>27</v>
      </c>
      <c r="AB27" s="3">
        <f>MIN(AB6:AB23)</f>
        <v>1120</v>
      </c>
      <c r="AE27" t="s">
        <v>27</v>
      </c>
      <c r="AF27" s="3">
        <f>MIN(AF6:AF23)</f>
        <v>25</v>
      </c>
      <c r="AI27" t="s">
        <v>27</v>
      </c>
      <c r="AJ27" s="3">
        <f>MIN(AJ6:AJ23)</f>
        <v>815</v>
      </c>
      <c r="AM27" t="s">
        <v>27</v>
      </c>
      <c r="AN27" s="3">
        <f>MIN(AN6:AN23)</f>
        <v>830</v>
      </c>
    </row>
  </sheetData>
  <autoFilter ref="A1:D27" xr:uid="{407C7778-26FB-4FF0-B505-49E7101EC537}">
    <filterColumn colId="0" showButton="0"/>
    <filterColumn colId="1" showButton="0"/>
    <filterColumn colId="2" showButton="0"/>
  </autoFilter>
  <sortState xmlns:xlrd2="http://schemas.microsoft.com/office/spreadsheetml/2017/richdata2" ref="AM5:AN23">
    <sortCondition descending="1" ref="AN23"/>
  </sortState>
  <mergeCells count="33">
    <mergeCell ref="AQ1:AS1"/>
    <mergeCell ref="AQ2:AS2"/>
    <mergeCell ref="AQ3:AS3"/>
    <mergeCell ref="S1:U1"/>
    <mergeCell ref="S2:U2"/>
    <mergeCell ref="S3:U3"/>
    <mergeCell ref="W1:Y1"/>
    <mergeCell ref="W2:Y2"/>
    <mergeCell ref="W3:Y3"/>
    <mergeCell ref="AA1:AC1"/>
    <mergeCell ref="AA2:AC2"/>
    <mergeCell ref="AA3:AC3"/>
    <mergeCell ref="AE1:AG1"/>
    <mergeCell ref="AE2:AG2"/>
    <mergeCell ref="AE3:AG3"/>
    <mergeCell ref="AI1:AK1"/>
    <mergeCell ref="K1:M1"/>
    <mergeCell ref="K2:M2"/>
    <mergeCell ref="K3:M3"/>
    <mergeCell ref="O1:Q1"/>
    <mergeCell ref="O2:Q2"/>
    <mergeCell ref="O3:Q3"/>
    <mergeCell ref="A1:D1"/>
    <mergeCell ref="A2:D2"/>
    <mergeCell ref="A3:C3"/>
    <mergeCell ref="F1:I1"/>
    <mergeCell ref="F2:I2"/>
    <mergeCell ref="F3:H3"/>
    <mergeCell ref="AI2:AK2"/>
    <mergeCell ref="AI3:AK3"/>
    <mergeCell ref="AM1:AO1"/>
    <mergeCell ref="AM2:AO2"/>
    <mergeCell ref="AM3:AO3"/>
  </mergeCells>
  <conditionalFormatting sqref="B1:B4 B28:B1048576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2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G2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 G1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L15 K5:K14 K16:K2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2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P2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 P2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T5 S14:T14 S6:S13 S15:S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T2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W2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X2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A2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B2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:AB12 AA5:AA11 AA13:AA2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2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:AF6 AE5 AE14:AF14 AE7:AE13 AE15:AE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I2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J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J6 AI5 AI7:AI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J6 AI5 AI11:AJ11 AI7:AI10 AI12:AI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M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N5 AM6:AM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N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8B99-C128-4FD1-A5F3-7A9350F4705C}">
  <dimension ref="A1:Z25"/>
  <sheetViews>
    <sheetView topLeftCell="L1" zoomScale="98" zoomScaleNormal="80" workbookViewId="0">
      <selection activeCell="I26" sqref="I26"/>
    </sheetView>
  </sheetViews>
  <sheetFormatPr defaultRowHeight="14.4" x14ac:dyDescent="0.3"/>
  <cols>
    <col min="1" max="1" width="17.33203125" customWidth="1"/>
    <col min="2" max="2" width="13.44140625" customWidth="1"/>
    <col min="4" max="4" width="17.77734375" customWidth="1"/>
    <col min="5" max="5" width="11.33203125" customWidth="1"/>
    <col min="6" max="6" width="2.44140625" customWidth="1"/>
    <col min="7" max="7" width="17.6640625" customWidth="1"/>
    <col min="8" max="8" width="12.88671875" customWidth="1"/>
    <col min="9" max="9" width="17.33203125" customWidth="1"/>
    <col min="10" max="10" width="13.21875" customWidth="1"/>
    <col min="11" max="11" width="16.6640625" customWidth="1"/>
    <col min="12" max="12" width="12.109375" customWidth="1"/>
    <col min="13" max="13" width="16.77734375" customWidth="1"/>
    <col min="14" max="14" width="11.21875" customWidth="1"/>
    <col min="15" max="15" width="17.21875" customWidth="1"/>
    <col min="16" max="16" width="14.109375" customWidth="1"/>
    <col min="17" max="17" width="16.88671875" customWidth="1"/>
    <col min="18" max="18" width="15.6640625" customWidth="1"/>
    <col min="19" max="19" width="17.33203125" customWidth="1"/>
    <col min="20" max="20" width="13.21875" customWidth="1"/>
    <col min="21" max="21" width="17.33203125" customWidth="1"/>
    <col min="22" max="22" width="12" customWidth="1"/>
    <col min="23" max="23" width="1.44140625" customWidth="1"/>
    <col min="24" max="24" width="17.33203125" customWidth="1"/>
    <col min="25" max="25" width="14.88671875" customWidth="1"/>
  </cols>
  <sheetData>
    <row r="1" spans="1:26" x14ac:dyDescent="0.3">
      <c r="A1" s="18" t="s">
        <v>46</v>
      </c>
      <c r="B1" s="16"/>
      <c r="C1" s="16"/>
      <c r="D1" s="16"/>
    </row>
    <row r="2" spans="1:26" x14ac:dyDescent="0.3">
      <c r="A2" s="16">
        <v>2021</v>
      </c>
      <c r="B2" s="16"/>
      <c r="C2" s="16"/>
      <c r="D2" s="16"/>
      <c r="U2" s="17"/>
      <c r="V2" s="17"/>
      <c r="W2" s="17"/>
      <c r="X2" s="12"/>
      <c r="Y2" s="12"/>
      <c r="Z2" s="12"/>
    </row>
    <row r="3" spans="1:26" x14ac:dyDescent="0.3">
      <c r="A3" s="16" t="s">
        <v>47</v>
      </c>
      <c r="B3" s="16"/>
      <c r="C3" s="16"/>
      <c r="D3" s="16" t="s">
        <v>38</v>
      </c>
      <c r="E3" s="16"/>
      <c r="F3" s="16"/>
      <c r="G3" s="15" t="s">
        <v>39</v>
      </c>
      <c r="H3" s="15"/>
      <c r="I3" s="15" t="s">
        <v>48</v>
      </c>
      <c r="J3" s="15"/>
      <c r="K3" s="15" t="s">
        <v>49</v>
      </c>
      <c r="L3" s="15"/>
      <c r="M3" s="15" t="s">
        <v>50</v>
      </c>
      <c r="N3" s="15"/>
      <c r="O3" s="15" t="s">
        <v>51</v>
      </c>
      <c r="P3" s="15"/>
      <c r="Q3" s="15" t="s">
        <v>52</v>
      </c>
      <c r="R3" s="15"/>
      <c r="S3" s="15" t="s">
        <v>53</v>
      </c>
      <c r="T3" s="15"/>
      <c r="U3" s="15" t="s">
        <v>36</v>
      </c>
      <c r="V3" s="15"/>
      <c r="W3" s="15"/>
      <c r="X3" s="15" t="s">
        <v>37</v>
      </c>
      <c r="Y3" s="15"/>
      <c r="Z3" s="11"/>
    </row>
    <row r="4" spans="1:26" x14ac:dyDescent="0.3">
      <c r="A4" s="1" t="s">
        <v>0</v>
      </c>
      <c r="B4" s="1" t="s">
        <v>1</v>
      </c>
      <c r="C4" s="1"/>
      <c r="D4" s="1" t="s">
        <v>0</v>
      </c>
      <c r="E4" s="1" t="s">
        <v>1</v>
      </c>
      <c r="G4" s="1" t="s">
        <v>0</v>
      </c>
      <c r="H4" s="1" t="s">
        <v>1</v>
      </c>
      <c r="I4" s="1" t="s">
        <v>0</v>
      </c>
      <c r="J4" t="s">
        <v>1</v>
      </c>
      <c r="K4" s="1" t="s">
        <v>0</v>
      </c>
      <c r="L4" t="s">
        <v>1</v>
      </c>
      <c r="M4" s="1" t="s">
        <v>0</v>
      </c>
      <c r="N4" t="s">
        <v>1</v>
      </c>
      <c r="O4" s="1" t="s">
        <v>0</v>
      </c>
      <c r="P4" t="s">
        <v>1</v>
      </c>
      <c r="Q4" s="1" t="s">
        <v>0</v>
      </c>
      <c r="R4" t="s">
        <v>1</v>
      </c>
      <c r="S4" t="s">
        <v>40</v>
      </c>
      <c r="T4" t="s">
        <v>1</v>
      </c>
      <c r="U4" t="s">
        <v>35</v>
      </c>
      <c r="V4" t="s">
        <v>1</v>
      </c>
      <c r="X4" s="11" t="s">
        <v>40</v>
      </c>
      <c r="Y4" t="s">
        <v>1</v>
      </c>
      <c r="Z4" s="11"/>
    </row>
    <row r="5" spans="1:26" x14ac:dyDescent="0.3">
      <c r="A5" t="s">
        <v>14</v>
      </c>
      <c r="B5" s="4">
        <v>4433680</v>
      </c>
      <c r="D5" t="s">
        <v>14</v>
      </c>
      <c r="E5" s="4">
        <v>2335905</v>
      </c>
      <c r="G5" t="s">
        <v>14</v>
      </c>
      <c r="H5" s="4">
        <v>2097770</v>
      </c>
      <c r="I5" t="s">
        <v>14</v>
      </c>
      <c r="J5" s="4">
        <v>574850</v>
      </c>
      <c r="K5" t="s">
        <v>14</v>
      </c>
      <c r="L5" s="4">
        <v>807030</v>
      </c>
      <c r="M5" t="s">
        <v>14</v>
      </c>
      <c r="N5" s="4">
        <v>666350</v>
      </c>
      <c r="O5" t="s">
        <v>14</v>
      </c>
      <c r="P5">
        <v>558620</v>
      </c>
      <c r="Q5" t="s">
        <v>6</v>
      </c>
      <c r="R5" s="4">
        <v>605945</v>
      </c>
      <c r="S5" t="s">
        <v>6</v>
      </c>
      <c r="T5" s="4">
        <v>770885</v>
      </c>
      <c r="U5" t="s">
        <v>14</v>
      </c>
      <c r="V5" s="13">
        <v>3451175</v>
      </c>
      <c r="X5" t="s">
        <v>6</v>
      </c>
      <c r="Y5" s="4">
        <v>1012585</v>
      </c>
    </row>
    <row r="6" spans="1:26" x14ac:dyDescent="0.3">
      <c r="A6" t="s">
        <v>6</v>
      </c>
      <c r="B6" s="4">
        <v>3654825</v>
      </c>
      <c r="D6" t="s">
        <v>6</v>
      </c>
      <c r="E6" s="4">
        <v>1729760</v>
      </c>
      <c r="G6" t="s">
        <v>6</v>
      </c>
      <c r="H6" s="4">
        <v>1925070</v>
      </c>
      <c r="I6" t="s">
        <v>6</v>
      </c>
      <c r="J6" s="4">
        <v>419885</v>
      </c>
      <c r="K6" t="s">
        <v>6</v>
      </c>
      <c r="L6" s="4">
        <v>392920</v>
      </c>
      <c r="M6" t="s">
        <v>6</v>
      </c>
      <c r="N6" s="4">
        <v>431095</v>
      </c>
      <c r="O6" t="s">
        <v>6</v>
      </c>
      <c r="P6" s="4">
        <v>510030</v>
      </c>
      <c r="Q6" t="s">
        <v>14</v>
      </c>
      <c r="R6" s="4">
        <v>525030</v>
      </c>
      <c r="S6" t="s">
        <v>14</v>
      </c>
      <c r="T6" s="4">
        <v>470310</v>
      </c>
      <c r="U6" t="s">
        <v>6</v>
      </c>
      <c r="V6" s="13">
        <v>2591330</v>
      </c>
      <c r="X6" t="s">
        <v>14</v>
      </c>
      <c r="Y6" s="4">
        <v>885805</v>
      </c>
    </row>
    <row r="7" spans="1:26" x14ac:dyDescent="0.3">
      <c r="A7" t="s">
        <v>13</v>
      </c>
      <c r="B7" s="4">
        <v>942990</v>
      </c>
      <c r="D7" t="s">
        <v>13</v>
      </c>
      <c r="E7" s="4">
        <v>474965</v>
      </c>
      <c r="G7" t="s">
        <v>13</v>
      </c>
      <c r="H7" s="4">
        <v>468025</v>
      </c>
      <c r="I7" t="s">
        <v>13</v>
      </c>
      <c r="J7" s="4">
        <v>152155</v>
      </c>
      <c r="K7" t="s">
        <v>13</v>
      </c>
      <c r="L7" s="4">
        <v>147930</v>
      </c>
      <c r="M7" t="s">
        <v>13</v>
      </c>
      <c r="N7" s="4">
        <v>141480</v>
      </c>
      <c r="O7" t="s">
        <v>13</v>
      </c>
      <c r="P7" s="4">
        <v>116675</v>
      </c>
      <c r="Q7" t="s">
        <v>21</v>
      </c>
      <c r="R7" s="4">
        <v>121975</v>
      </c>
      <c r="S7" t="s">
        <v>21</v>
      </c>
      <c r="T7" s="4">
        <v>252695</v>
      </c>
      <c r="U7" t="s">
        <v>21</v>
      </c>
      <c r="V7" s="13">
        <v>542595</v>
      </c>
      <c r="X7" t="s">
        <v>13</v>
      </c>
      <c r="Y7" s="4">
        <v>608030</v>
      </c>
    </row>
    <row r="8" spans="1:26" x14ac:dyDescent="0.3">
      <c r="A8" t="s">
        <v>7</v>
      </c>
      <c r="B8" s="4">
        <v>573700</v>
      </c>
      <c r="D8" t="s">
        <v>7</v>
      </c>
      <c r="E8" s="4">
        <v>295980</v>
      </c>
      <c r="G8" t="s">
        <v>21</v>
      </c>
      <c r="H8" s="4">
        <v>319520</v>
      </c>
      <c r="I8" t="s">
        <v>7</v>
      </c>
      <c r="J8" s="4">
        <v>79165</v>
      </c>
      <c r="K8" t="s">
        <v>7</v>
      </c>
      <c r="L8" s="4">
        <v>126345</v>
      </c>
      <c r="M8" t="s">
        <v>7</v>
      </c>
      <c r="N8" s="4">
        <v>96260</v>
      </c>
      <c r="O8" t="s">
        <v>7</v>
      </c>
      <c r="P8" s="4">
        <v>66310</v>
      </c>
      <c r="Q8" s="2" t="s">
        <v>3</v>
      </c>
      <c r="R8" s="4">
        <v>109965</v>
      </c>
      <c r="S8" s="2" t="s">
        <v>3</v>
      </c>
      <c r="T8" s="4">
        <v>217970</v>
      </c>
      <c r="U8" s="2" t="s">
        <v>3</v>
      </c>
      <c r="V8" s="13">
        <v>441565</v>
      </c>
      <c r="X8" t="s">
        <v>7</v>
      </c>
      <c r="Y8" s="4">
        <v>365930</v>
      </c>
    </row>
    <row r="9" spans="1:26" x14ac:dyDescent="0.3">
      <c r="A9" t="s">
        <v>21</v>
      </c>
      <c r="B9" s="4">
        <v>570825</v>
      </c>
      <c r="D9" t="s">
        <v>21</v>
      </c>
      <c r="E9" s="4">
        <v>251315</v>
      </c>
      <c r="G9" s="2" t="s">
        <v>3</v>
      </c>
      <c r="H9" s="4">
        <v>289345</v>
      </c>
      <c r="I9" t="s">
        <v>19</v>
      </c>
      <c r="J9" s="4">
        <v>57340</v>
      </c>
      <c r="K9" t="s">
        <v>19</v>
      </c>
      <c r="L9" s="4">
        <v>64685</v>
      </c>
      <c r="M9" t="s">
        <v>19</v>
      </c>
      <c r="N9" s="4">
        <v>42395</v>
      </c>
      <c r="O9" s="2" t="s">
        <v>3</v>
      </c>
      <c r="P9" s="4">
        <v>65185</v>
      </c>
      <c r="Q9" t="s">
        <v>13</v>
      </c>
      <c r="R9" s="4">
        <v>82325</v>
      </c>
      <c r="S9" t="s">
        <v>17</v>
      </c>
      <c r="T9" s="4">
        <v>81315</v>
      </c>
      <c r="U9" t="s">
        <v>13</v>
      </c>
      <c r="V9" s="13">
        <v>288490</v>
      </c>
      <c r="X9" t="s">
        <v>19</v>
      </c>
      <c r="Y9" s="4">
        <v>165540</v>
      </c>
    </row>
    <row r="10" spans="1:26" x14ac:dyDescent="0.3">
      <c r="A10" s="2" t="s">
        <v>3</v>
      </c>
      <c r="B10" s="4">
        <v>525425</v>
      </c>
      <c r="D10" s="2" t="s">
        <v>3</v>
      </c>
      <c r="E10" s="4">
        <v>236085</v>
      </c>
      <c r="G10" t="s">
        <v>7</v>
      </c>
      <c r="H10" s="4">
        <v>277720</v>
      </c>
      <c r="I10" t="s">
        <v>21</v>
      </c>
      <c r="J10" s="4">
        <v>37640</v>
      </c>
      <c r="K10" t="s">
        <v>15</v>
      </c>
      <c r="L10" s="4">
        <v>29575</v>
      </c>
      <c r="M10" s="2" t="s">
        <v>3</v>
      </c>
      <c r="N10" s="4">
        <v>38455</v>
      </c>
      <c r="O10" t="s">
        <v>21</v>
      </c>
      <c r="P10" s="4">
        <v>62000</v>
      </c>
      <c r="Q10" t="s">
        <v>7</v>
      </c>
      <c r="R10" s="4">
        <v>51835</v>
      </c>
      <c r="S10" t="s">
        <v>13</v>
      </c>
      <c r="T10" s="4">
        <v>70095</v>
      </c>
      <c r="U10" t="s">
        <v>17</v>
      </c>
      <c r="V10" s="13">
        <v>158795</v>
      </c>
      <c r="X10" t="s">
        <v>15</v>
      </c>
      <c r="Y10">
        <v>161585</v>
      </c>
    </row>
    <row r="11" spans="1:26" x14ac:dyDescent="0.3">
      <c r="A11" t="s">
        <v>19</v>
      </c>
      <c r="B11" s="4">
        <v>300435</v>
      </c>
      <c r="D11" t="s">
        <v>19</v>
      </c>
      <c r="E11" s="4">
        <v>155390</v>
      </c>
      <c r="G11" t="s">
        <v>15</v>
      </c>
      <c r="H11" s="4">
        <v>151990</v>
      </c>
      <c r="I11" s="2" t="s">
        <v>3</v>
      </c>
      <c r="J11" s="4">
        <v>34500</v>
      </c>
      <c r="K11" s="2" t="s">
        <v>3</v>
      </c>
      <c r="L11" s="4">
        <v>29110</v>
      </c>
      <c r="M11" t="s">
        <v>15</v>
      </c>
      <c r="N11">
        <v>37360</v>
      </c>
      <c r="O11" t="s">
        <v>15</v>
      </c>
      <c r="P11" s="4">
        <v>50615</v>
      </c>
      <c r="Q11" t="s">
        <v>15</v>
      </c>
      <c r="R11" s="4">
        <v>43410</v>
      </c>
      <c r="S11" t="s">
        <v>15</v>
      </c>
      <c r="T11" s="4">
        <v>57350</v>
      </c>
      <c r="U11" t="s">
        <v>9</v>
      </c>
      <c r="V11" s="4">
        <v>141495</v>
      </c>
      <c r="X11" t="s">
        <v>5</v>
      </c>
      <c r="Y11" s="4">
        <v>116270</v>
      </c>
    </row>
    <row r="12" spans="1:26" x14ac:dyDescent="0.3">
      <c r="A12" t="s">
        <v>15</v>
      </c>
      <c r="B12" s="5">
        <v>291590</v>
      </c>
      <c r="D12" t="s">
        <v>15</v>
      </c>
      <c r="E12" s="5">
        <v>139590</v>
      </c>
      <c r="G12" t="s">
        <v>19</v>
      </c>
      <c r="H12" s="4">
        <v>145040</v>
      </c>
      <c r="I12" t="s">
        <v>15</v>
      </c>
      <c r="J12">
        <v>31780</v>
      </c>
      <c r="K12" t="s">
        <v>21</v>
      </c>
      <c r="L12" s="4">
        <v>28105</v>
      </c>
      <c r="M12" t="s">
        <v>21</v>
      </c>
      <c r="N12" s="4">
        <v>36080</v>
      </c>
      <c r="O12" t="s">
        <v>19</v>
      </c>
      <c r="P12" s="4">
        <v>31785</v>
      </c>
      <c r="Q12" t="s">
        <v>17</v>
      </c>
      <c r="R12" s="4">
        <v>42435</v>
      </c>
      <c r="S12" t="s">
        <v>7</v>
      </c>
      <c r="T12" s="4">
        <v>56515</v>
      </c>
      <c r="U12" t="s">
        <v>7</v>
      </c>
      <c r="V12" s="13">
        <v>136795</v>
      </c>
      <c r="X12" s="2" t="s">
        <v>3</v>
      </c>
      <c r="Y12" s="4">
        <v>82305</v>
      </c>
    </row>
    <row r="13" spans="1:26" x14ac:dyDescent="0.3">
      <c r="A13" t="s">
        <v>17</v>
      </c>
      <c r="B13" s="4">
        <v>202275</v>
      </c>
      <c r="D13" t="s">
        <v>9</v>
      </c>
      <c r="E13" s="4">
        <v>96075</v>
      </c>
      <c r="G13" t="s">
        <v>17</v>
      </c>
      <c r="H13" s="4">
        <v>110560</v>
      </c>
      <c r="I13" t="s">
        <v>16</v>
      </c>
      <c r="J13" s="4">
        <v>21745</v>
      </c>
      <c r="K13" t="s">
        <v>9</v>
      </c>
      <c r="L13" s="4">
        <v>22010</v>
      </c>
      <c r="M13" t="s">
        <v>9</v>
      </c>
      <c r="N13" s="4">
        <v>23450</v>
      </c>
      <c r="O13" t="s">
        <v>5</v>
      </c>
      <c r="P13" s="4">
        <v>28800</v>
      </c>
      <c r="Q13" t="s">
        <v>4</v>
      </c>
      <c r="R13" s="4">
        <v>31820</v>
      </c>
      <c r="S13" t="s">
        <v>4</v>
      </c>
      <c r="T13" s="4">
        <v>54320</v>
      </c>
      <c r="U13" t="s">
        <v>15</v>
      </c>
      <c r="V13">
        <v>125740</v>
      </c>
      <c r="X13" t="s">
        <v>16</v>
      </c>
      <c r="Y13" s="4">
        <v>67745</v>
      </c>
    </row>
    <row r="14" spans="1:26" x14ac:dyDescent="0.3">
      <c r="A14" t="s">
        <v>9</v>
      </c>
      <c r="B14" s="4">
        <v>196095</v>
      </c>
      <c r="D14" t="s">
        <v>17</v>
      </c>
      <c r="E14" s="4">
        <v>91715</v>
      </c>
      <c r="G14" t="s">
        <v>9</v>
      </c>
      <c r="H14" s="4">
        <v>100020</v>
      </c>
      <c r="I14" t="s">
        <v>9</v>
      </c>
      <c r="J14" s="4">
        <v>21105</v>
      </c>
      <c r="K14" t="s">
        <v>5</v>
      </c>
      <c r="L14" s="4">
        <v>19970</v>
      </c>
      <c r="M14" t="s">
        <v>5</v>
      </c>
      <c r="N14" s="4">
        <v>22755</v>
      </c>
      <c r="O14" t="s">
        <v>16</v>
      </c>
      <c r="P14" s="4">
        <v>24615</v>
      </c>
      <c r="Q14" t="s">
        <v>5</v>
      </c>
      <c r="R14" s="4">
        <v>30385</v>
      </c>
      <c r="S14" t="s">
        <v>9</v>
      </c>
      <c r="T14" s="4">
        <v>50245</v>
      </c>
      <c r="U14" t="s">
        <v>4</v>
      </c>
      <c r="V14" s="4">
        <v>120970</v>
      </c>
      <c r="X14" t="s">
        <v>9</v>
      </c>
      <c r="Y14" s="4">
        <v>52610</v>
      </c>
    </row>
    <row r="15" spans="1:26" x14ac:dyDescent="0.3">
      <c r="A15" t="s">
        <v>16</v>
      </c>
      <c r="B15" s="4">
        <v>172490</v>
      </c>
      <c r="D15" t="s">
        <v>16</v>
      </c>
      <c r="E15" s="4">
        <v>76255</v>
      </c>
      <c r="G15" t="s">
        <v>16</v>
      </c>
      <c r="H15" s="4">
        <v>96230</v>
      </c>
      <c r="I15" t="s">
        <v>5</v>
      </c>
      <c r="J15" s="4">
        <v>16085</v>
      </c>
      <c r="K15" t="s">
        <v>16</v>
      </c>
      <c r="L15" s="4">
        <v>18030</v>
      </c>
      <c r="M15" t="s">
        <v>16</v>
      </c>
      <c r="N15" s="4">
        <v>20470</v>
      </c>
      <c r="O15" t="s">
        <v>17</v>
      </c>
      <c r="P15" s="4">
        <v>23445</v>
      </c>
      <c r="Q15" t="s">
        <v>16</v>
      </c>
      <c r="R15" s="4">
        <v>26505</v>
      </c>
      <c r="S15" t="s">
        <v>10</v>
      </c>
      <c r="T15" s="4">
        <v>45370</v>
      </c>
      <c r="U15" s="7" t="s">
        <v>16</v>
      </c>
      <c r="V15" s="14">
        <v>98365</v>
      </c>
      <c r="X15" t="s">
        <v>4</v>
      </c>
      <c r="Y15" s="4">
        <v>42025</v>
      </c>
    </row>
    <row r="16" spans="1:26" x14ac:dyDescent="0.3">
      <c r="A16" t="s">
        <v>4</v>
      </c>
      <c r="B16" s="4">
        <v>165400</v>
      </c>
      <c r="D16" t="s">
        <v>4</v>
      </c>
      <c r="E16" s="4">
        <v>75170</v>
      </c>
      <c r="G16" t="s">
        <v>5</v>
      </c>
      <c r="H16" s="4">
        <v>90500</v>
      </c>
      <c r="I16" t="s">
        <v>17</v>
      </c>
      <c r="J16" s="4">
        <v>14195</v>
      </c>
      <c r="K16" t="s">
        <v>4</v>
      </c>
      <c r="L16" s="4">
        <v>12960</v>
      </c>
      <c r="M16" t="s">
        <v>17</v>
      </c>
      <c r="N16" s="4">
        <v>14850</v>
      </c>
      <c r="O16" t="s">
        <v>9</v>
      </c>
      <c r="P16" s="4">
        <v>21580</v>
      </c>
      <c r="Q16" t="s">
        <v>9</v>
      </c>
      <c r="R16" s="4">
        <v>25350</v>
      </c>
      <c r="S16" t="s">
        <v>19</v>
      </c>
      <c r="T16" s="4">
        <v>33590</v>
      </c>
      <c r="U16" t="s">
        <v>19</v>
      </c>
      <c r="V16" s="4">
        <v>88335</v>
      </c>
      <c r="X16" t="s">
        <v>17</v>
      </c>
      <c r="Y16" s="4">
        <v>41715</v>
      </c>
    </row>
    <row r="17" spans="1:25" x14ac:dyDescent="0.3">
      <c r="A17" t="s">
        <v>5</v>
      </c>
      <c r="B17" s="4">
        <v>164215</v>
      </c>
      <c r="D17" t="s">
        <v>5</v>
      </c>
      <c r="E17" s="4">
        <v>73715</v>
      </c>
      <c r="G17" t="s">
        <v>4</v>
      </c>
      <c r="H17" s="4">
        <v>90230</v>
      </c>
      <c r="I17" t="s">
        <v>4</v>
      </c>
      <c r="J17" s="4">
        <v>13800</v>
      </c>
      <c r="K17" t="s">
        <v>17</v>
      </c>
      <c r="L17" s="4">
        <v>12900</v>
      </c>
      <c r="M17" t="s">
        <v>4</v>
      </c>
      <c r="N17" s="4">
        <v>14775</v>
      </c>
      <c r="O17" t="s">
        <v>4</v>
      </c>
      <c r="P17" s="4">
        <v>21465</v>
      </c>
      <c r="Q17" t="s">
        <v>10</v>
      </c>
      <c r="R17" s="4">
        <v>24290</v>
      </c>
      <c r="S17" t="s">
        <v>16</v>
      </c>
      <c r="T17" s="4">
        <v>33530</v>
      </c>
      <c r="U17" t="s">
        <v>10</v>
      </c>
      <c r="V17" s="4">
        <v>87940</v>
      </c>
      <c r="X17" t="s">
        <v>21</v>
      </c>
      <c r="Y17" s="4">
        <v>27680</v>
      </c>
    </row>
    <row r="18" spans="1:25" x14ac:dyDescent="0.3">
      <c r="A18" t="s">
        <v>10</v>
      </c>
      <c r="B18" s="4">
        <v>114810</v>
      </c>
      <c r="D18" t="s">
        <v>10</v>
      </c>
      <c r="E18" s="4">
        <v>52600</v>
      </c>
      <c r="G18" t="s">
        <v>10</v>
      </c>
      <c r="H18" s="4">
        <v>62215</v>
      </c>
      <c r="I18" t="s">
        <v>10</v>
      </c>
      <c r="J18" s="4">
        <v>7955</v>
      </c>
      <c r="K18" t="s">
        <v>10</v>
      </c>
      <c r="L18" s="4">
        <v>7215</v>
      </c>
      <c r="M18" t="s">
        <v>10</v>
      </c>
      <c r="N18" s="4">
        <v>8545</v>
      </c>
      <c r="O18" t="s">
        <v>10</v>
      </c>
      <c r="P18" s="4">
        <v>14035</v>
      </c>
      <c r="Q18" t="s">
        <v>19</v>
      </c>
      <c r="R18" s="4">
        <v>21920</v>
      </c>
      <c r="S18" t="s">
        <v>5</v>
      </c>
      <c r="T18" s="4">
        <v>31070</v>
      </c>
      <c r="U18" t="s">
        <v>5</v>
      </c>
      <c r="V18" s="4">
        <v>42005</v>
      </c>
      <c r="X18" t="s">
        <v>10</v>
      </c>
      <c r="Y18" s="4">
        <v>26300</v>
      </c>
    </row>
    <row r="19" spans="1:25" x14ac:dyDescent="0.3">
      <c r="A19" t="s">
        <v>8</v>
      </c>
      <c r="B19" s="4">
        <v>48290</v>
      </c>
      <c r="D19" t="s">
        <v>18</v>
      </c>
      <c r="E19" s="4">
        <v>23275</v>
      </c>
      <c r="G19" t="s">
        <v>8</v>
      </c>
      <c r="H19" s="4">
        <v>27610</v>
      </c>
      <c r="I19" t="s">
        <v>11</v>
      </c>
      <c r="J19" s="4">
        <v>7300</v>
      </c>
      <c r="K19" t="s">
        <v>11</v>
      </c>
      <c r="L19" s="4">
        <v>5190</v>
      </c>
      <c r="M19" t="s">
        <v>8</v>
      </c>
      <c r="N19" s="4">
        <v>6335</v>
      </c>
      <c r="O19" t="s">
        <v>8</v>
      </c>
      <c r="P19" s="4">
        <v>6735</v>
      </c>
      <c r="Q19" t="s">
        <v>8</v>
      </c>
      <c r="R19" s="4">
        <v>8040</v>
      </c>
      <c r="S19" t="s">
        <v>8</v>
      </c>
      <c r="T19" s="4">
        <v>13315</v>
      </c>
      <c r="U19" t="s">
        <v>11</v>
      </c>
      <c r="V19" s="4">
        <v>41655</v>
      </c>
      <c r="X19" t="s">
        <v>8</v>
      </c>
      <c r="Y19" s="4">
        <v>15580</v>
      </c>
    </row>
    <row r="20" spans="1:25" x14ac:dyDescent="0.3">
      <c r="A20" t="s">
        <v>11</v>
      </c>
      <c r="B20" s="4">
        <v>47660</v>
      </c>
      <c r="D20" t="s">
        <v>11</v>
      </c>
      <c r="E20" s="4">
        <v>23160</v>
      </c>
      <c r="G20" t="s">
        <v>11</v>
      </c>
      <c r="H20" s="4">
        <v>24495</v>
      </c>
      <c r="I20" t="s">
        <v>18</v>
      </c>
      <c r="J20" s="4">
        <v>5680</v>
      </c>
      <c r="K20" t="s">
        <v>18</v>
      </c>
      <c r="L20" s="4">
        <v>4825</v>
      </c>
      <c r="M20" t="s">
        <v>18</v>
      </c>
      <c r="N20" s="4">
        <v>4560</v>
      </c>
      <c r="O20" t="s">
        <v>18</v>
      </c>
      <c r="P20" s="4">
        <v>5165</v>
      </c>
      <c r="Q20" t="s">
        <v>18</v>
      </c>
      <c r="R20" s="4">
        <v>7450</v>
      </c>
      <c r="S20" t="s">
        <v>18</v>
      </c>
      <c r="T20" s="4">
        <v>10440</v>
      </c>
      <c r="U20" t="s">
        <v>18</v>
      </c>
      <c r="V20" s="4">
        <v>36940</v>
      </c>
      <c r="X20" t="s">
        <v>18</v>
      </c>
      <c r="Y20" s="4">
        <v>10320</v>
      </c>
    </row>
    <row r="21" spans="1:25" x14ac:dyDescent="0.3">
      <c r="A21" t="s">
        <v>18</v>
      </c>
      <c r="B21" s="4">
        <v>47400</v>
      </c>
      <c r="D21" t="s">
        <v>8</v>
      </c>
      <c r="E21" s="4">
        <v>20680</v>
      </c>
      <c r="G21" t="s">
        <v>18</v>
      </c>
      <c r="H21" s="4">
        <v>24125</v>
      </c>
      <c r="I21" t="s">
        <v>8</v>
      </c>
      <c r="J21" s="4">
        <v>4225</v>
      </c>
      <c r="K21" t="s">
        <v>8</v>
      </c>
      <c r="L21" s="4">
        <v>4250</v>
      </c>
      <c r="M21" t="s">
        <v>11</v>
      </c>
      <c r="N21" s="4">
        <v>4485</v>
      </c>
      <c r="O21" t="s">
        <v>11</v>
      </c>
      <c r="P21" s="4">
        <v>4810</v>
      </c>
      <c r="Q21" t="s">
        <v>11</v>
      </c>
      <c r="R21" s="4">
        <v>5190</v>
      </c>
      <c r="S21" t="s">
        <v>11</v>
      </c>
      <c r="T21" s="4">
        <v>7910</v>
      </c>
      <c r="U21" t="s">
        <v>8</v>
      </c>
      <c r="V21" s="4">
        <v>31865</v>
      </c>
      <c r="X21" t="s">
        <v>11</v>
      </c>
      <c r="Y21" s="4">
        <v>5800</v>
      </c>
    </row>
    <row r="22" spans="1:25" x14ac:dyDescent="0.3">
      <c r="A22" t="s">
        <v>12</v>
      </c>
      <c r="B22" s="4">
        <v>16420</v>
      </c>
      <c r="D22" t="s">
        <v>12</v>
      </c>
      <c r="E22" s="4">
        <v>7710</v>
      </c>
      <c r="G22" t="s">
        <v>12</v>
      </c>
      <c r="H22" s="4">
        <v>8710</v>
      </c>
      <c r="I22" t="s">
        <v>20</v>
      </c>
      <c r="J22" s="4">
        <v>2380</v>
      </c>
      <c r="K22" t="s">
        <v>20</v>
      </c>
      <c r="L22" s="4">
        <v>2295</v>
      </c>
      <c r="M22" t="s">
        <v>20</v>
      </c>
      <c r="N22" s="4">
        <v>2075</v>
      </c>
      <c r="O22" t="s">
        <v>12</v>
      </c>
      <c r="P22" s="4">
        <v>2025</v>
      </c>
      <c r="Q22" t="s">
        <v>12</v>
      </c>
      <c r="R22" s="4">
        <v>2660</v>
      </c>
      <c r="S22" t="s">
        <v>12</v>
      </c>
      <c r="T22" s="4">
        <v>3765</v>
      </c>
      <c r="U22" t="s">
        <v>20</v>
      </c>
      <c r="V22" s="4">
        <v>15670</v>
      </c>
      <c r="X22" t="s">
        <v>12</v>
      </c>
      <c r="Y22" s="4">
        <v>3485</v>
      </c>
    </row>
    <row r="23" spans="1:25" x14ac:dyDescent="0.3">
      <c r="A23" t="s">
        <v>20</v>
      </c>
      <c r="B23" s="4">
        <v>15990</v>
      </c>
      <c r="D23" t="s">
        <v>20</v>
      </c>
      <c r="E23" s="4">
        <v>7400</v>
      </c>
      <c r="G23" t="s">
        <v>20</v>
      </c>
      <c r="H23" s="4">
        <v>8585</v>
      </c>
      <c r="I23" t="s">
        <v>12</v>
      </c>
      <c r="J23" s="4">
        <v>1870</v>
      </c>
      <c r="K23" t="s">
        <v>12</v>
      </c>
      <c r="L23" s="4">
        <v>1585</v>
      </c>
      <c r="M23" t="s">
        <v>12</v>
      </c>
      <c r="N23" s="4">
        <v>2075</v>
      </c>
      <c r="O23" t="s">
        <v>20</v>
      </c>
      <c r="P23" s="4">
        <v>1965</v>
      </c>
      <c r="Q23" t="s">
        <v>20</v>
      </c>
      <c r="R23" s="4">
        <v>1815</v>
      </c>
      <c r="S23" t="s">
        <v>20</v>
      </c>
      <c r="T23" s="4">
        <v>1230</v>
      </c>
      <c r="U23" t="s">
        <v>12</v>
      </c>
      <c r="V23" s="4">
        <v>12500</v>
      </c>
      <c r="X23" t="s">
        <v>20</v>
      </c>
      <c r="Y23" s="5">
        <v>310</v>
      </c>
    </row>
    <row r="25" spans="1:25" x14ac:dyDescent="0.3">
      <c r="X25" s="7" t="s">
        <v>54</v>
      </c>
    </row>
  </sheetData>
  <sortState xmlns:xlrd2="http://schemas.microsoft.com/office/spreadsheetml/2017/richdata2" ref="X5:Y23">
    <sortCondition descending="1" ref="Y5:Y23"/>
  </sortState>
  <mergeCells count="14">
    <mergeCell ref="X3:Y3"/>
    <mergeCell ref="U2:W2"/>
    <mergeCell ref="U3:W3"/>
    <mergeCell ref="A1:D1"/>
    <mergeCell ref="A2:D2"/>
    <mergeCell ref="A3:C3"/>
    <mergeCell ref="D3:F3"/>
    <mergeCell ref="M3:N3"/>
    <mergeCell ref="S3:T3"/>
    <mergeCell ref="O3:P3"/>
    <mergeCell ref="I3:J3"/>
    <mergeCell ref="K3:L3"/>
    <mergeCell ref="G3:H3"/>
    <mergeCell ref="Q3:R3"/>
  </mergeCells>
  <conditionalFormatting sqref="A5:B2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2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E12 D5:D11 D13:D2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2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H6 G7:G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H2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2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J2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L2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2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N2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2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P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2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R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2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T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:T11 S5:S10 S12:S23 U5:U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V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X23 X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Y12 X14:Y23 X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DC6D-4595-40C3-AED4-37F6679FE0B6}">
  <dimension ref="A1:V25"/>
  <sheetViews>
    <sheetView topLeftCell="I1" zoomScale="90" zoomScaleNormal="90" workbookViewId="0">
      <selection activeCell="T28" sqref="T28"/>
    </sheetView>
  </sheetViews>
  <sheetFormatPr defaultRowHeight="14.4" x14ac:dyDescent="0.3"/>
  <cols>
    <col min="1" max="1" width="18" customWidth="1"/>
    <col min="2" max="2" width="12" customWidth="1"/>
    <col min="3" max="3" width="16.88671875" customWidth="1"/>
    <col min="4" max="4" width="11" customWidth="1"/>
    <col min="5" max="5" width="17.5546875" customWidth="1"/>
    <col min="6" max="6" width="10.33203125" customWidth="1"/>
    <col min="7" max="7" width="17.5546875" customWidth="1"/>
    <col min="8" max="8" width="13.5546875" customWidth="1"/>
    <col min="9" max="9" width="17.88671875" customWidth="1"/>
    <col min="10" max="10" width="13.5546875" customWidth="1"/>
    <col min="11" max="11" width="19" customWidth="1"/>
    <col min="12" max="12" width="14.109375" customWidth="1"/>
    <col min="13" max="13" width="19" customWidth="1"/>
    <col min="14" max="14" width="12.109375" customWidth="1"/>
    <col min="15" max="15" width="17.6640625" customWidth="1"/>
    <col min="16" max="16" width="16.77734375" customWidth="1"/>
    <col min="17" max="17" width="17.88671875" customWidth="1"/>
    <col min="18" max="18" width="14.77734375" customWidth="1"/>
    <col min="19" max="19" width="18.21875" customWidth="1"/>
    <col min="20" max="20" width="16.5546875" customWidth="1"/>
    <col min="21" max="21" width="17.6640625" customWidth="1"/>
    <col min="22" max="22" width="14.77734375" customWidth="1"/>
  </cols>
  <sheetData>
    <row r="1" spans="1:22" x14ac:dyDescent="0.3">
      <c r="A1" s="15" t="s">
        <v>55</v>
      </c>
      <c r="B1" s="15"/>
    </row>
    <row r="3" spans="1:22" x14ac:dyDescent="0.3">
      <c r="A3" s="15" t="s">
        <v>56</v>
      </c>
      <c r="B3" s="15"/>
      <c r="C3" s="16" t="s">
        <v>38</v>
      </c>
      <c r="D3" s="16"/>
      <c r="E3" s="16" t="s">
        <v>39</v>
      </c>
      <c r="F3" s="16"/>
      <c r="G3" s="15" t="s">
        <v>48</v>
      </c>
      <c r="H3" s="15"/>
      <c r="I3" s="15" t="s">
        <v>49</v>
      </c>
      <c r="J3" s="15"/>
      <c r="K3" s="15" t="s">
        <v>50</v>
      </c>
      <c r="L3" s="15"/>
      <c r="M3" s="15" t="s">
        <v>51</v>
      </c>
      <c r="N3" s="15"/>
      <c r="O3" s="15" t="s">
        <v>52</v>
      </c>
      <c r="P3" s="15"/>
      <c r="Q3" s="15" t="s">
        <v>53</v>
      </c>
      <c r="R3" s="15"/>
      <c r="S3" s="15" t="s">
        <v>36</v>
      </c>
      <c r="T3" s="15"/>
      <c r="U3" s="15" t="s">
        <v>37</v>
      </c>
      <c r="V3" s="15"/>
    </row>
    <row r="4" spans="1:22" x14ac:dyDescent="0.3">
      <c r="A4" s="1" t="s">
        <v>0</v>
      </c>
      <c r="B4" s="1" t="s">
        <v>1</v>
      </c>
      <c r="C4" s="1" t="s">
        <v>0</v>
      </c>
      <c r="D4" s="1" t="s">
        <v>1</v>
      </c>
      <c r="E4" s="1" t="s">
        <v>0</v>
      </c>
      <c r="F4" s="1" t="s">
        <v>1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1</v>
      </c>
      <c r="M4" s="1" t="s">
        <v>40</v>
      </c>
      <c r="N4" s="1" t="s">
        <v>1</v>
      </c>
      <c r="O4" s="1" t="s">
        <v>40</v>
      </c>
      <c r="P4" s="1" t="s">
        <v>1</v>
      </c>
      <c r="Q4" s="1" t="s">
        <v>40</v>
      </c>
      <c r="R4" s="1" t="s">
        <v>1</v>
      </c>
      <c r="S4" s="1" t="s">
        <v>40</v>
      </c>
      <c r="T4" s="1" t="s">
        <v>1</v>
      </c>
      <c r="U4" s="1" t="s">
        <v>40</v>
      </c>
      <c r="V4" s="1" t="s">
        <v>1</v>
      </c>
    </row>
    <row r="5" spans="1:22" x14ac:dyDescent="0.3">
      <c r="A5" t="s">
        <v>6</v>
      </c>
      <c r="B5" s="4">
        <v>4472555</v>
      </c>
      <c r="C5" t="s">
        <v>6</v>
      </c>
      <c r="D5" s="4">
        <v>2156600</v>
      </c>
      <c r="E5" t="s">
        <v>6</v>
      </c>
      <c r="F5" s="4">
        <v>2315960</v>
      </c>
      <c r="G5" t="s">
        <v>14</v>
      </c>
      <c r="H5" s="4">
        <v>574850</v>
      </c>
      <c r="I5" t="s">
        <v>14</v>
      </c>
      <c r="J5" s="4">
        <v>481595</v>
      </c>
      <c r="K5" t="s">
        <v>6</v>
      </c>
      <c r="L5" s="4">
        <v>492155</v>
      </c>
      <c r="M5" t="s">
        <v>6</v>
      </c>
      <c r="N5" s="4">
        <v>595085</v>
      </c>
      <c r="O5" t="s">
        <v>6</v>
      </c>
      <c r="P5" s="4">
        <v>892005</v>
      </c>
      <c r="Q5" t="s">
        <v>6</v>
      </c>
      <c r="R5" s="4">
        <v>1254610</v>
      </c>
      <c r="S5" t="s">
        <v>6</v>
      </c>
      <c r="T5" s="4">
        <v>4101385</v>
      </c>
      <c r="U5" t="s">
        <v>6</v>
      </c>
      <c r="V5" s="4">
        <v>333325</v>
      </c>
    </row>
    <row r="6" spans="1:22" x14ac:dyDescent="0.3">
      <c r="A6" t="s">
        <v>14</v>
      </c>
      <c r="B6" s="4">
        <v>2267720</v>
      </c>
      <c r="C6" t="s">
        <v>14</v>
      </c>
      <c r="D6" s="4">
        <v>1197655</v>
      </c>
      <c r="E6" t="s">
        <v>14</v>
      </c>
      <c r="F6" s="4">
        <v>1070065</v>
      </c>
      <c r="G6" t="s">
        <v>6</v>
      </c>
      <c r="H6" s="4">
        <v>419885</v>
      </c>
      <c r="I6" t="s">
        <v>6</v>
      </c>
      <c r="J6" s="4">
        <v>363385</v>
      </c>
      <c r="K6" t="s">
        <v>14</v>
      </c>
      <c r="L6" s="4">
        <v>377445</v>
      </c>
      <c r="M6" t="s">
        <v>14</v>
      </c>
      <c r="N6" s="4">
        <v>224135</v>
      </c>
      <c r="O6" t="s">
        <v>14</v>
      </c>
      <c r="P6" s="4">
        <v>160955</v>
      </c>
      <c r="Q6" t="s">
        <v>14</v>
      </c>
      <c r="R6" s="4">
        <v>140740</v>
      </c>
      <c r="S6" t="s">
        <v>14</v>
      </c>
      <c r="T6" s="4">
        <v>1946040</v>
      </c>
      <c r="U6" t="s">
        <v>14</v>
      </c>
      <c r="V6" s="4">
        <v>253330</v>
      </c>
    </row>
    <row r="7" spans="1:22" x14ac:dyDescent="0.3">
      <c r="A7" t="s">
        <v>13</v>
      </c>
      <c r="B7" s="4">
        <v>421710</v>
      </c>
      <c r="C7" t="s">
        <v>13</v>
      </c>
      <c r="D7" s="4">
        <v>218255</v>
      </c>
      <c r="E7" t="s">
        <v>13</v>
      </c>
      <c r="F7" s="4">
        <v>203455</v>
      </c>
      <c r="G7" t="s">
        <v>13</v>
      </c>
      <c r="H7" s="4">
        <v>152155</v>
      </c>
      <c r="I7" t="s">
        <v>13</v>
      </c>
      <c r="J7" s="4">
        <v>64285</v>
      </c>
      <c r="K7" t="s">
        <v>13</v>
      </c>
      <c r="L7" s="4">
        <v>74910</v>
      </c>
      <c r="M7" t="s">
        <v>13</v>
      </c>
      <c r="N7" s="4">
        <v>58215</v>
      </c>
      <c r="O7" t="s">
        <v>13</v>
      </c>
      <c r="P7" s="4">
        <v>27620</v>
      </c>
      <c r="Q7" t="s">
        <v>15</v>
      </c>
      <c r="R7">
        <v>22040</v>
      </c>
      <c r="S7" t="s">
        <v>13</v>
      </c>
      <c r="T7" s="4">
        <v>131915</v>
      </c>
      <c r="U7" t="s">
        <v>13</v>
      </c>
      <c r="V7" s="4">
        <v>252450</v>
      </c>
    </row>
    <row r="8" spans="1:22" x14ac:dyDescent="0.3">
      <c r="A8" t="s">
        <v>15</v>
      </c>
      <c r="B8" s="5">
        <v>129845</v>
      </c>
      <c r="C8" t="s">
        <v>15</v>
      </c>
      <c r="D8" s="4">
        <v>70840</v>
      </c>
      <c r="E8" t="s">
        <v>15</v>
      </c>
      <c r="F8" s="4">
        <v>107085</v>
      </c>
      <c r="G8" t="s">
        <v>7</v>
      </c>
      <c r="H8" s="4">
        <v>79165</v>
      </c>
      <c r="I8" t="s">
        <v>15</v>
      </c>
      <c r="J8">
        <v>11775</v>
      </c>
      <c r="K8" t="s">
        <v>15</v>
      </c>
      <c r="L8">
        <v>19790</v>
      </c>
      <c r="M8" t="s">
        <v>15</v>
      </c>
      <c r="N8">
        <v>24455</v>
      </c>
      <c r="O8" t="s">
        <v>15</v>
      </c>
      <c r="P8">
        <v>15100</v>
      </c>
      <c r="Q8" t="s">
        <v>9</v>
      </c>
      <c r="R8" s="4">
        <v>21635</v>
      </c>
      <c r="S8" t="s">
        <v>9</v>
      </c>
      <c r="T8" s="4">
        <v>61360</v>
      </c>
      <c r="U8" t="s">
        <v>57</v>
      </c>
      <c r="V8">
        <v>74090</v>
      </c>
    </row>
    <row r="9" spans="1:22" x14ac:dyDescent="0.3">
      <c r="A9" t="s">
        <v>9</v>
      </c>
      <c r="B9" s="4">
        <v>84535</v>
      </c>
      <c r="C9" t="s">
        <v>9</v>
      </c>
      <c r="D9" s="4">
        <v>41470</v>
      </c>
      <c r="E9" t="s">
        <v>9</v>
      </c>
      <c r="F9" s="4">
        <v>43065</v>
      </c>
      <c r="G9" t="s">
        <v>19</v>
      </c>
      <c r="H9" s="4">
        <v>57340</v>
      </c>
      <c r="I9" t="s">
        <v>7</v>
      </c>
      <c r="J9" s="4">
        <v>11090</v>
      </c>
      <c r="K9" t="s">
        <v>9</v>
      </c>
      <c r="L9" s="4">
        <v>8800</v>
      </c>
      <c r="M9" t="s">
        <v>5</v>
      </c>
      <c r="N9" s="4">
        <v>8430</v>
      </c>
      <c r="O9" t="s">
        <v>9</v>
      </c>
      <c r="P9" s="4">
        <v>9060</v>
      </c>
      <c r="Q9" s="2" t="s">
        <v>3</v>
      </c>
      <c r="R9" s="4">
        <v>16035</v>
      </c>
      <c r="S9" t="s">
        <v>15</v>
      </c>
      <c r="T9">
        <v>54555</v>
      </c>
      <c r="U9" t="s">
        <v>16</v>
      </c>
      <c r="V9" s="4">
        <v>39310</v>
      </c>
    </row>
    <row r="10" spans="1:22" x14ac:dyDescent="0.3">
      <c r="A10" s="2" t="s">
        <v>3</v>
      </c>
      <c r="B10" s="4">
        <v>55290</v>
      </c>
      <c r="C10" s="2" t="s">
        <v>3</v>
      </c>
      <c r="D10" s="4">
        <v>26065</v>
      </c>
      <c r="E10" s="2" t="s">
        <v>3</v>
      </c>
      <c r="F10" s="4">
        <v>29230</v>
      </c>
      <c r="G10" t="s">
        <v>21</v>
      </c>
      <c r="H10" s="4">
        <v>37640</v>
      </c>
      <c r="I10" t="s">
        <v>9</v>
      </c>
      <c r="J10" s="4">
        <v>9170</v>
      </c>
      <c r="K10" t="s">
        <v>7</v>
      </c>
      <c r="L10" s="4">
        <v>7695</v>
      </c>
      <c r="M10" t="s">
        <v>9</v>
      </c>
      <c r="N10" s="4">
        <v>8200</v>
      </c>
      <c r="O10" s="2" t="s">
        <v>3</v>
      </c>
      <c r="P10" s="4">
        <v>8485</v>
      </c>
      <c r="Q10" t="s">
        <v>13</v>
      </c>
      <c r="R10" s="4">
        <v>16010</v>
      </c>
      <c r="S10" s="2" t="s">
        <v>3</v>
      </c>
      <c r="T10" s="4">
        <v>48245</v>
      </c>
      <c r="U10" t="s">
        <v>5</v>
      </c>
      <c r="V10" s="4">
        <v>30815</v>
      </c>
    </row>
    <row r="11" spans="1:22" x14ac:dyDescent="0.3">
      <c r="A11" t="s">
        <v>5</v>
      </c>
      <c r="B11" s="4">
        <v>48370</v>
      </c>
      <c r="C11" t="s">
        <v>7</v>
      </c>
      <c r="D11" s="4">
        <v>25050</v>
      </c>
      <c r="E11" t="s">
        <v>5</v>
      </c>
      <c r="F11" s="4">
        <v>26980</v>
      </c>
      <c r="G11" s="2" t="s">
        <v>3</v>
      </c>
      <c r="H11" s="4">
        <v>34500</v>
      </c>
      <c r="I11" t="s">
        <v>19</v>
      </c>
      <c r="J11" s="4">
        <v>5970</v>
      </c>
      <c r="K11" t="s">
        <v>5</v>
      </c>
      <c r="L11" s="4">
        <v>7565</v>
      </c>
      <c r="M11" s="2" t="s">
        <v>3</v>
      </c>
      <c r="N11" s="4">
        <v>6600</v>
      </c>
      <c r="O11" t="s">
        <v>5</v>
      </c>
      <c r="P11" s="4">
        <v>8410</v>
      </c>
      <c r="Q11" t="s">
        <v>5</v>
      </c>
      <c r="R11" s="4">
        <v>8850</v>
      </c>
      <c r="S11" t="s">
        <v>8</v>
      </c>
      <c r="T11" s="4">
        <v>20175</v>
      </c>
      <c r="U11" t="s">
        <v>7</v>
      </c>
      <c r="V11" s="4">
        <v>24105</v>
      </c>
    </row>
    <row r="12" spans="1:22" x14ac:dyDescent="0.3">
      <c r="A12" t="s">
        <v>7</v>
      </c>
      <c r="B12" s="4">
        <v>47390</v>
      </c>
      <c r="C12" t="s">
        <v>5</v>
      </c>
      <c r="D12" s="4">
        <v>21390</v>
      </c>
      <c r="E12" t="s">
        <v>7</v>
      </c>
      <c r="F12" s="4">
        <v>22345</v>
      </c>
      <c r="G12" t="s">
        <v>15</v>
      </c>
      <c r="H12">
        <v>31780</v>
      </c>
      <c r="I12" t="s">
        <v>5</v>
      </c>
      <c r="J12" s="4">
        <v>5965</v>
      </c>
      <c r="K12" t="s">
        <v>16</v>
      </c>
      <c r="L12" s="4">
        <v>6305</v>
      </c>
      <c r="M12" t="s">
        <v>16</v>
      </c>
      <c r="N12" s="4">
        <v>4930</v>
      </c>
      <c r="O12" t="s">
        <v>8</v>
      </c>
      <c r="P12" s="4">
        <v>5260</v>
      </c>
      <c r="Q12" t="s">
        <v>21</v>
      </c>
      <c r="R12" s="4">
        <v>8825</v>
      </c>
      <c r="S12" t="s">
        <v>16</v>
      </c>
      <c r="T12" s="4">
        <v>20115</v>
      </c>
      <c r="U12" t="s">
        <v>9</v>
      </c>
      <c r="V12" s="4">
        <v>21725</v>
      </c>
    </row>
    <row r="13" spans="1:22" x14ac:dyDescent="0.3">
      <c r="A13" t="s">
        <v>16</v>
      </c>
      <c r="B13" s="4">
        <v>39310</v>
      </c>
      <c r="C13" t="s">
        <v>16</v>
      </c>
      <c r="D13" s="4">
        <v>17775</v>
      </c>
      <c r="E13" t="s">
        <v>16</v>
      </c>
      <c r="F13" s="4">
        <v>21540</v>
      </c>
      <c r="G13" t="s">
        <v>16</v>
      </c>
      <c r="H13" s="4">
        <v>21745</v>
      </c>
      <c r="I13" s="2" t="s">
        <v>3</v>
      </c>
      <c r="J13" s="4">
        <v>4620</v>
      </c>
      <c r="K13" t="s">
        <v>4</v>
      </c>
      <c r="L13" s="4">
        <v>5370</v>
      </c>
      <c r="M13" t="s">
        <v>7</v>
      </c>
      <c r="N13" s="4">
        <v>4770</v>
      </c>
      <c r="O13" t="s">
        <v>4</v>
      </c>
      <c r="P13" s="4">
        <v>4665</v>
      </c>
      <c r="Q13" t="s">
        <v>8</v>
      </c>
      <c r="R13" s="4">
        <v>7365</v>
      </c>
      <c r="S13" t="s">
        <v>4</v>
      </c>
      <c r="T13" s="4">
        <v>18370</v>
      </c>
      <c r="U13" t="s">
        <v>4</v>
      </c>
      <c r="V13" s="4">
        <v>12960</v>
      </c>
    </row>
    <row r="14" spans="1:22" x14ac:dyDescent="0.3">
      <c r="A14" t="s">
        <v>4</v>
      </c>
      <c r="B14" s="4">
        <v>33750</v>
      </c>
      <c r="C14" t="s">
        <v>4</v>
      </c>
      <c r="D14" s="4">
        <v>15875</v>
      </c>
      <c r="E14" t="s">
        <v>4</v>
      </c>
      <c r="F14" s="4">
        <v>17885</v>
      </c>
      <c r="G14" t="s">
        <v>9</v>
      </c>
      <c r="H14" s="4">
        <v>21105</v>
      </c>
      <c r="I14" t="s">
        <v>16</v>
      </c>
      <c r="J14" s="4">
        <v>4365</v>
      </c>
      <c r="K14" s="2" t="s">
        <v>3</v>
      </c>
      <c r="L14" s="4">
        <v>5015</v>
      </c>
      <c r="M14" t="s">
        <v>4</v>
      </c>
      <c r="N14" s="4">
        <v>4650</v>
      </c>
      <c r="O14" t="s">
        <v>16</v>
      </c>
      <c r="P14" s="4">
        <v>4590</v>
      </c>
      <c r="Q14" t="s">
        <v>4</v>
      </c>
      <c r="R14" s="4">
        <v>5520</v>
      </c>
      <c r="S14" t="s">
        <v>21</v>
      </c>
      <c r="T14" s="4">
        <v>17360</v>
      </c>
      <c r="U14" t="s">
        <v>19</v>
      </c>
      <c r="V14" s="4">
        <v>8580</v>
      </c>
    </row>
    <row r="15" spans="1:22" x14ac:dyDescent="0.3">
      <c r="A15" t="s">
        <v>8</v>
      </c>
      <c r="B15" s="4">
        <v>27970</v>
      </c>
      <c r="C15" t="s">
        <v>19</v>
      </c>
      <c r="D15" s="4">
        <v>12385</v>
      </c>
      <c r="E15" t="s">
        <v>8</v>
      </c>
      <c r="F15" s="4">
        <v>15910</v>
      </c>
      <c r="G15" t="s">
        <v>5</v>
      </c>
      <c r="H15" s="4">
        <v>16085</v>
      </c>
      <c r="I15" t="s">
        <v>4</v>
      </c>
      <c r="J15" s="4">
        <v>3385</v>
      </c>
      <c r="K15" t="s">
        <v>8</v>
      </c>
      <c r="L15" s="4">
        <v>4120</v>
      </c>
      <c r="M15" t="s">
        <v>8</v>
      </c>
      <c r="N15" s="4">
        <v>3655</v>
      </c>
      <c r="O15" t="s">
        <v>7</v>
      </c>
      <c r="P15" s="4">
        <v>3970</v>
      </c>
      <c r="Q15" t="s">
        <v>16</v>
      </c>
      <c r="R15" s="4">
        <v>4940</v>
      </c>
      <c r="S15" t="s">
        <v>5</v>
      </c>
      <c r="T15" s="4">
        <v>16140</v>
      </c>
      <c r="U15" t="s">
        <v>8</v>
      </c>
      <c r="V15" s="4">
        <v>7055</v>
      </c>
    </row>
    <row r="16" spans="1:22" x14ac:dyDescent="0.3">
      <c r="A16" t="s">
        <v>19</v>
      </c>
      <c r="B16" s="4">
        <v>23345</v>
      </c>
      <c r="C16" t="s">
        <v>8</v>
      </c>
      <c r="D16" s="4">
        <v>12060</v>
      </c>
      <c r="E16" t="s">
        <v>19</v>
      </c>
      <c r="F16" s="4">
        <v>10960</v>
      </c>
      <c r="G16" t="s">
        <v>17</v>
      </c>
      <c r="H16" s="4">
        <v>14195</v>
      </c>
      <c r="I16" t="s">
        <v>8</v>
      </c>
      <c r="J16" s="4">
        <v>2545</v>
      </c>
      <c r="K16" t="s">
        <v>19</v>
      </c>
      <c r="L16" s="4">
        <v>3060</v>
      </c>
      <c r="M16" t="s">
        <v>21</v>
      </c>
      <c r="N16" s="4">
        <v>2005</v>
      </c>
      <c r="O16" t="s">
        <v>21</v>
      </c>
      <c r="P16" s="4">
        <v>3610</v>
      </c>
      <c r="Q16" t="s">
        <v>7</v>
      </c>
      <c r="R16" s="4">
        <v>4155</v>
      </c>
      <c r="S16" t="s">
        <v>7</v>
      </c>
      <c r="T16" s="4">
        <v>12570</v>
      </c>
      <c r="U16" s="2" t="s">
        <v>3</v>
      </c>
      <c r="V16" s="4">
        <v>6615</v>
      </c>
    </row>
    <row r="17" spans="1:22" x14ac:dyDescent="0.3">
      <c r="A17" t="s">
        <v>21</v>
      </c>
      <c r="B17" s="4">
        <v>19595</v>
      </c>
      <c r="C17" t="s">
        <v>21</v>
      </c>
      <c r="D17" s="4">
        <v>8645</v>
      </c>
      <c r="E17" t="s">
        <v>21</v>
      </c>
      <c r="F17" s="4">
        <v>10950</v>
      </c>
      <c r="G17" t="s">
        <v>4</v>
      </c>
      <c r="H17" s="4">
        <v>13800</v>
      </c>
      <c r="I17" t="s">
        <v>21</v>
      </c>
      <c r="J17" s="4">
        <v>1040</v>
      </c>
      <c r="K17" t="s">
        <v>21</v>
      </c>
      <c r="L17" s="4">
        <v>1435</v>
      </c>
      <c r="M17" t="s">
        <v>19</v>
      </c>
      <c r="N17" s="4">
        <v>1915</v>
      </c>
      <c r="O17" t="s">
        <v>19</v>
      </c>
      <c r="P17" s="4">
        <v>1405</v>
      </c>
      <c r="Q17" t="s">
        <v>17</v>
      </c>
      <c r="R17" s="4">
        <v>2745</v>
      </c>
      <c r="S17" t="s">
        <v>17</v>
      </c>
      <c r="T17" s="4">
        <v>4945</v>
      </c>
      <c r="U17" t="s">
        <v>17</v>
      </c>
      <c r="V17" s="4">
        <v>2685</v>
      </c>
    </row>
    <row r="18" spans="1:22" x14ac:dyDescent="0.3">
      <c r="A18" t="s">
        <v>17</v>
      </c>
      <c r="B18" s="4">
        <v>8015</v>
      </c>
      <c r="C18" t="s">
        <v>17</v>
      </c>
      <c r="D18" s="4">
        <v>3830</v>
      </c>
      <c r="E18" t="s">
        <v>17</v>
      </c>
      <c r="F18" s="4">
        <v>4180</v>
      </c>
      <c r="G18" t="s">
        <v>10</v>
      </c>
      <c r="H18" s="4">
        <v>7955</v>
      </c>
      <c r="I18" t="s">
        <v>17</v>
      </c>
      <c r="J18" s="5">
        <v>580</v>
      </c>
      <c r="K18" t="s">
        <v>17</v>
      </c>
      <c r="L18" s="5">
        <v>900</v>
      </c>
      <c r="M18" t="s">
        <v>17</v>
      </c>
      <c r="N18" s="5">
        <v>995</v>
      </c>
      <c r="O18" t="s">
        <v>17</v>
      </c>
      <c r="P18" s="4">
        <v>1305</v>
      </c>
      <c r="Q18" t="s">
        <v>10</v>
      </c>
      <c r="R18" s="4">
        <v>1815</v>
      </c>
      <c r="S18" t="s">
        <v>19</v>
      </c>
      <c r="T18" s="4">
        <v>4090</v>
      </c>
      <c r="U18" t="s">
        <v>10</v>
      </c>
      <c r="V18" s="4">
        <v>2255</v>
      </c>
    </row>
    <row r="19" spans="1:22" x14ac:dyDescent="0.3">
      <c r="A19" t="s">
        <v>10</v>
      </c>
      <c r="B19" s="4">
        <v>4875</v>
      </c>
      <c r="C19" t="s">
        <v>10</v>
      </c>
      <c r="D19" s="4">
        <v>2265</v>
      </c>
      <c r="E19" t="s">
        <v>10</v>
      </c>
      <c r="F19" s="4">
        <v>2615</v>
      </c>
      <c r="G19" t="s">
        <v>11</v>
      </c>
      <c r="H19" s="4">
        <v>7300</v>
      </c>
      <c r="I19" t="s">
        <v>20</v>
      </c>
      <c r="J19" s="5">
        <v>575</v>
      </c>
      <c r="K19" t="s">
        <v>12</v>
      </c>
      <c r="L19" s="5">
        <v>690</v>
      </c>
      <c r="M19" t="s">
        <v>10</v>
      </c>
      <c r="N19" s="5">
        <v>670</v>
      </c>
      <c r="O19" t="s">
        <v>10</v>
      </c>
      <c r="P19" s="5">
        <v>925</v>
      </c>
      <c r="Q19" t="s">
        <v>19</v>
      </c>
      <c r="R19" s="4">
        <v>1495</v>
      </c>
      <c r="S19" t="s">
        <v>20</v>
      </c>
      <c r="T19" s="4">
        <v>3740</v>
      </c>
      <c r="U19" t="s">
        <v>21</v>
      </c>
      <c r="V19" s="3">
        <v>2045</v>
      </c>
    </row>
    <row r="20" spans="1:22" x14ac:dyDescent="0.3">
      <c r="A20" t="s">
        <v>12</v>
      </c>
      <c r="B20" s="4">
        <v>4600</v>
      </c>
      <c r="C20" t="s">
        <v>12</v>
      </c>
      <c r="D20" s="4">
        <v>2190</v>
      </c>
      <c r="E20" t="s">
        <v>12</v>
      </c>
      <c r="F20" s="4">
        <v>2405</v>
      </c>
      <c r="G20" t="s">
        <v>18</v>
      </c>
      <c r="H20" s="4">
        <v>5680</v>
      </c>
      <c r="I20" t="s">
        <v>12</v>
      </c>
      <c r="J20" s="5">
        <v>530</v>
      </c>
      <c r="K20" t="s">
        <v>20</v>
      </c>
      <c r="L20" s="5">
        <v>560</v>
      </c>
      <c r="M20" t="s">
        <v>12</v>
      </c>
      <c r="N20" s="5">
        <v>510</v>
      </c>
      <c r="O20" t="s">
        <v>12</v>
      </c>
      <c r="P20" s="5">
        <v>515</v>
      </c>
      <c r="Q20" t="s">
        <v>12</v>
      </c>
      <c r="R20" s="5">
        <v>705</v>
      </c>
      <c r="S20" t="s">
        <v>12</v>
      </c>
      <c r="T20" s="4">
        <v>2985</v>
      </c>
      <c r="U20" t="s">
        <v>12</v>
      </c>
      <c r="V20" s="4">
        <v>1350</v>
      </c>
    </row>
    <row r="21" spans="1:22" x14ac:dyDescent="0.3">
      <c r="A21" t="s">
        <v>20</v>
      </c>
      <c r="B21" s="4">
        <v>3790</v>
      </c>
      <c r="C21" t="s">
        <v>20</v>
      </c>
      <c r="D21" s="4">
        <v>1900</v>
      </c>
      <c r="E21" t="s">
        <v>20</v>
      </c>
      <c r="F21" s="4">
        <v>1895</v>
      </c>
      <c r="G21" t="s">
        <v>8</v>
      </c>
      <c r="H21" s="4">
        <v>4225</v>
      </c>
      <c r="I21" t="s">
        <v>10</v>
      </c>
      <c r="J21" s="5">
        <v>325</v>
      </c>
      <c r="K21" t="s">
        <v>10</v>
      </c>
      <c r="L21" s="5">
        <v>425</v>
      </c>
      <c r="M21" t="s">
        <v>20</v>
      </c>
      <c r="N21" s="5">
        <v>465</v>
      </c>
      <c r="O21" t="s">
        <v>20</v>
      </c>
      <c r="P21" s="5">
        <v>375</v>
      </c>
      <c r="Q21" t="s">
        <v>20</v>
      </c>
      <c r="R21" s="5">
        <v>210</v>
      </c>
      <c r="S21" t="s">
        <v>10</v>
      </c>
      <c r="T21" s="4">
        <v>2350</v>
      </c>
      <c r="U21" t="s">
        <v>18</v>
      </c>
      <c r="V21" s="5">
        <v>540</v>
      </c>
    </row>
    <row r="22" spans="1:22" x14ac:dyDescent="0.3">
      <c r="A22" t="s">
        <v>18</v>
      </c>
      <c r="B22" s="4">
        <v>1220</v>
      </c>
      <c r="C22" t="s">
        <v>18</v>
      </c>
      <c r="D22" s="5">
        <v>620</v>
      </c>
      <c r="E22" t="s">
        <v>18</v>
      </c>
      <c r="F22" s="5">
        <v>600</v>
      </c>
      <c r="G22" t="s">
        <v>20</v>
      </c>
      <c r="H22" s="4">
        <v>2380</v>
      </c>
      <c r="I22" t="s">
        <v>18</v>
      </c>
      <c r="J22" s="5">
        <v>160</v>
      </c>
      <c r="K22" t="s">
        <v>18</v>
      </c>
      <c r="L22" s="5">
        <v>155</v>
      </c>
      <c r="M22" t="s">
        <v>18</v>
      </c>
      <c r="N22" s="5">
        <v>190</v>
      </c>
      <c r="O22" t="s">
        <v>18</v>
      </c>
      <c r="P22" s="5">
        <v>125</v>
      </c>
      <c r="Q22" t="s">
        <v>18</v>
      </c>
      <c r="R22" s="5">
        <v>160</v>
      </c>
      <c r="S22" t="s">
        <v>18</v>
      </c>
      <c r="T22" s="5">
        <v>550</v>
      </c>
      <c r="U22" t="s">
        <v>11</v>
      </c>
      <c r="V22" s="5">
        <v>80</v>
      </c>
    </row>
    <row r="23" spans="1:22" x14ac:dyDescent="0.3">
      <c r="A23" t="s">
        <v>11</v>
      </c>
      <c r="B23" s="5">
        <v>525</v>
      </c>
      <c r="C23" t="s">
        <v>11</v>
      </c>
      <c r="D23" s="5">
        <v>235</v>
      </c>
      <c r="E23" t="s">
        <v>11</v>
      </c>
      <c r="F23" s="5">
        <v>285</v>
      </c>
      <c r="G23" t="s">
        <v>12</v>
      </c>
      <c r="H23" s="4">
        <v>1870</v>
      </c>
      <c r="I23" t="s">
        <v>11</v>
      </c>
      <c r="J23" s="5">
        <v>70</v>
      </c>
      <c r="K23" t="s">
        <v>11</v>
      </c>
      <c r="L23" s="5">
        <v>90</v>
      </c>
      <c r="M23" t="s">
        <v>11</v>
      </c>
      <c r="N23" s="5">
        <v>55</v>
      </c>
      <c r="O23" t="s">
        <v>11</v>
      </c>
      <c r="P23" s="5">
        <v>100</v>
      </c>
      <c r="Q23" t="s">
        <v>11</v>
      </c>
      <c r="R23" s="5">
        <v>115</v>
      </c>
      <c r="S23" t="s">
        <v>11</v>
      </c>
      <c r="T23" s="5">
        <v>435</v>
      </c>
      <c r="U23" t="s">
        <v>20</v>
      </c>
      <c r="V23" s="5">
        <v>55</v>
      </c>
    </row>
    <row r="25" spans="1:22" x14ac:dyDescent="0.3">
      <c r="T25" t="s">
        <v>58</v>
      </c>
    </row>
  </sheetData>
  <sortState xmlns:xlrd2="http://schemas.microsoft.com/office/spreadsheetml/2017/richdata2" ref="U5:V23">
    <sortCondition descending="1" ref="V23"/>
  </sortState>
  <mergeCells count="12">
    <mergeCell ref="O3:P3"/>
    <mergeCell ref="Q3:R3"/>
    <mergeCell ref="S3:T3"/>
    <mergeCell ref="U3:V3"/>
    <mergeCell ref="I3:J3"/>
    <mergeCell ref="K3:L3"/>
    <mergeCell ref="M3:N3"/>
    <mergeCell ref="G3:H3"/>
    <mergeCell ref="A1:B1"/>
    <mergeCell ref="C3:D3"/>
    <mergeCell ref="A3:B3"/>
    <mergeCell ref="E3:F3"/>
  </mergeCells>
  <conditionalFormatting sqref="A4:B23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B12 A5:A11 A13:A2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2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23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2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4 E8:F8 E5:E7 E9:E2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2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2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H2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2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11 I13:I20 I22:I23 I5:K5 I12:K12 K6:K11 I21:K21 K13:K20 K22:K2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2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L2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2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2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P2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2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R2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2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T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V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0984-E5FE-4A85-A6AD-A8165CC8D7B2}">
  <dimension ref="A1:V23"/>
  <sheetViews>
    <sheetView zoomScale="80" zoomScaleNormal="80" workbookViewId="0">
      <selection activeCell="C30" sqref="C30"/>
    </sheetView>
  </sheetViews>
  <sheetFormatPr defaultRowHeight="14.4" x14ac:dyDescent="0.3"/>
  <cols>
    <col min="1" max="1" width="17.6640625" customWidth="1"/>
    <col min="2" max="21" width="16.77734375" customWidth="1"/>
    <col min="22" max="22" width="16.6640625" customWidth="1"/>
  </cols>
  <sheetData>
    <row r="1" spans="1:22" x14ac:dyDescent="0.3">
      <c r="A1" s="15" t="s">
        <v>59</v>
      </c>
      <c r="B1" s="15"/>
    </row>
    <row r="3" spans="1:22" x14ac:dyDescent="0.3">
      <c r="A3" s="15" t="s">
        <v>56</v>
      </c>
      <c r="B3" s="15"/>
      <c r="C3" s="16" t="s">
        <v>38</v>
      </c>
      <c r="D3" s="16"/>
      <c r="E3" s="16" t="s">
        <v>39</v>
      </c>
      <c r="F3" s="16"/>
      <c r="G3" s="15" t="s">
        <v>48</v>
      </c>
      <c r="H3" s="15"/>
      <c r="I3" s="15" t="s">
        <v>49</v>
      </c>
      <c r="J3" s="15"/>
      <c r="K3" s="15" t="s">
        <v>50</v>
      </c>
      <c r="L3" s="15"/>
      <c r="M3" s="15" t="s">
        <v>51</v>
      </c>
      <c r="N3" s="15"/>
      <c r="O3" s="15" t="s">
        <v>52</v>
      </c>
      <c r="P3" s="15"/>
      <c r="Q3" s="15" t="s">
        <v>53</v>
      </c>
      <c r="R3" s="15"/>
      <c r="S3" s="15" t="s">
        <v>36</v>
      </c>
      <c r="T3" s="15"/>
      <c r="U3" s="15" t="s">
        <v>37</v>
      </c>
      <c r="V3" s="15"/>
    </row>
    <row r="4" spans="1:22" x14ac:dyDescent="0.3">
      <c r="A4" s="1" t="s">
        <v>0</v>
      </c>
      <c r="B4" s="1" t="s">
        <v>1</v>
      </c>
      <c r="C4" s="1" t="s">
        <v>0</v>
      </c>
      <c r="D4" s="1" t="s">
        <v>1</v>
      </c>
      <c r="E4" s="1" t="s">
        <v>0</v>
      </c>
      <c r="F4" s="1" t="s">
        <v>1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1</v>
      </c>
      <c r="M4" s="1" t="s">
        <v>0</v>
      </c>
      <c r="N4" s="1" t="s">
        <v>1</v>
      </c>
      <c r="O4" s="1" t="s">
        <v>0</v>
      </c>
      <c r="P4" s="1" t="s">
        <v>1</v>
      </c>
      <c r="Q4" s="1" t="s">
        <v>0</v>
      </c>
      <c r="R4" s="1" t="s">
        <v>1</v>
      </c>
      <c r="S4" s="1" t="s">
        <v>40</v>
      </c>
      <c r="T4" s="1" t="s">
        <v>1</v>
      </c>
      <c r="U4" s="1" t="s">
        <v>40</v>
      </c>
      <c r="V4" s="1" t="s">
        <v>1</v>
      </c>
    </row>
    <row r="5" spans="1:22" x14ac:dyDescent="0.3">
      <c r="A5" t="s">
        <v>6</v>
      </c>
      <c r="B5" s="4">
        <v>305520</v>
      </c>
      <c r="C5" t="s">
        <v>6</v>
      </c>
      <c r="D5" s="4">
        <v>146135</v>
      </c>
      <c r="E5" t="s">
        <v>6</v>
      </c>
      <c r="F5" s="4">
        <v>159385</v>
      </c>
      <c r="G5" t="s">
        <v>14</v>
      </c>
      <c r="H5" s="4">
        <v>31125</v>
      </c>
      <c r="I5" t="s">
        <v>14</v>
      </c>
      <c r="J5" s="4">
        <v>39520</v>
      </c>
      <c r="K5" t="s">
        <v>14</v>
      </c>
      <c r="L5" s="4">
        <v>35275</v>
      </c>
      <c r="M5" t="s">
        <v>6</v>
      </c>
      <c r="N5" s="4">
        <v>43490</v>
      </c>
      <c r="O5" t="s">
        <v>6</v>
      </c>
      <c r="P5" s="4">
        <v>60785</v>
      </c>
      <c r="Q5" t="s">
        <v>6</v>
      </c>
      <c r="R5" s="4">
        <v>84030</v>
      </c>
      <c r="S5" t="s">
        <v>6</v>
      </c>
      <c r="T5" s="4">
        <v>293560</v>
      </c>
      <c r="U5" t="s">
        <v>14</v>
      </c>
      <c r="V5" s="3">
        <v>10910</v>
      </c>
    </row>
    <row r="6" spans="1:22" x14ac:dyDescent="0.3">
      <c r="A6" t="s">
        <v>14</v>
      </c>
      <c r="B6" s="4">
        <v>225125</v>
      </c>
      <c r="C6" t="s">
        <v>14</v>
      </c>
      <c r="D6" s="4">
        <v>120460</v>
      </c>
      <c r="E6" t="s">
        <v>14</v>
      </c>
      <c r="F6" s="4">
        <v>104660</v>
      </c>
      <c r="G6" t="s">
        <v>6</v>
      </c>
      <c r="H6" s="4">
        <v>26995</v>
      </c>
      <c r="I6" t="s">
        <v>6</v>
      </c>
      <c r="J6" s="4">
        <v>24730</v>
      </c>
      <c r="K6" t="s">
        <v>6</v>
      </c>
      <c r="L6" s="4">
        <v>32930</v>
      </c>
      <c r="M6" t="s">
        <v>14</v>
      </c>
      <c r="N6" s="4">
        <v>27825</v>
      </c>
      <c r="O6" t="s">
        <v>14</v>
      </c>
      <c r="P6" s="4">
        <v>22530</v>
      </c>
      <c r="Q6" t="s">
        <v>14</v>
      </c>
      <c r="R6" s="4">
        <v>18420</v>
      </c>
      <c r="S6" t="s">
        <v>14</v>
      </c>
      <c r="T6" s="3">
        <v>212175</v>
      </c>
      <c r="U6" t="s">
        <v>6</v>
      </c>
      <c r="V6" s="3">
        <v>10270</v>
      </c>
    </row>
    <row r="7" spans="1:22" x14ac:dyDescent="0.3">
      <c r="A7" t="s">
        <v>4</v>
      </c>
      <c r="B7" s="4">
        <v>48540</v>
      </c>
      <c r="C7" t="s">
        <v>4</v>
      </c>
      <c r="D7" s="4">
        <v>22610</v>
      </c>
      <c r="E7" t="s">
        <v>4</v>
      </c>
      <c r="F7" s="4">
        <v>25925</v>
      </c>
      <c r="G7" t="s">
        <v>4</v>
      </c>
      <c r="H7" s="4">
        <v>3845</v>
      </c>
      <c r="I7" t="s">
        <v>4</v>
      </c>
      <c r="J7" s="4">
        <v>3110</v>
      </c>
      <c r="K7" t="s">
        <v>4</v>
      </c>
      <c r="L7" s="4">
        <v>4175</v>
      </c>
      <c r="M7" t="s">
        <v>4</v>
      </c>
      <c r="N7" s="4">
        <v>6880</v>
      </c>
      <c r="O7" t="s">
        <v>4</v>
      </c>
      <c r="P7" s="4">
        <v>9445</v>
      </c>
      <c r="Q7" t="s">
        <v>4</v>
      </c>
      <c r="R7" s="4">
        <v>16605</v>
      </c>
      <c r="S7" t="s">
        <v>4</v>
      </c>
      <c r="T7" s="4">
        <v>48540</v>
      </c>
      <c r="U7" t="s">
        <v>13</v>
      </c>
      <c r="V7" s="3">
        <v>6360</v>
      </c>
    </row>
    <row r="8" spans="1:22" x14ac:dyDescent="0.3">
      <c r="A8" s="2" t="s">
        <v>3</v>
      </c>
      <c r="B8" s="4">
        <v>35830</v>
      </c>
      <c r="C8" s="2" t="s">
        <v>3</v>
      </c>
      <c r="D8" s="4">
        <v>16540</v>
      </c>
      <c r="E8" t="s">
        <v>21</v>
      </c>
      <c r="F8" s="4">
        <v>19700</v>
      </c>
      <c r="G8" s="2" t="s">
        <v>3</v>
      </c>
      <c r="H8" s="4">
        <v>2600</v>
      </c>
      <c r="I8" t="s">
        <v>13</v>
      </c>
      <c r="J8" s="4">
        <v>1875</v>
      </c>
      <c r="K8" s="2" t="s">
        <v>3</v>
      </c>
      <c r="L8" s="4">
        <v>2685</v>
      </c>
      <c r="M8" s="2" t="s">
        <v>3</v>
      </c>
      <c r="N8" s="4">
        <v>5200</v>
      </c>
      <c r="O8" s="2" t="s">
        <v>3</v>
      </c>
      <c r="P8" s="4">
        <v>7690</v>
      </c>
      <c r="Q8" t="s">
        <v>21</v>
      </c>
      <c r="R8" s="4">
        <v>14685</v>
      </c>
      <c r="S8" s="2" t="s">
        <v>3</v>
      </c>
      <c r="T8" s="4">
        <v>35830</v>
      </c>
      <c r="U8" t="s">
        <v>7</v>
      </c>
      <c r="V8" s="3">
        <v>1705</v>
      </c>
    </row>
    <row r="9" spans="1:22" x14ac:dyDescent="0.3">
      <c r="A9" t="s">
        <v>21</v>
      </c>
      <c r="B9" s="4">
        <v>35205</v>
      </c>
      <c r="C9" t="s">
        <v>21</v>
      </c>
      <c r="D9" s="4">
        <v>15505</v>
      </c>
      <c r="E9" s="2" t="s">
        <v>3</v>
      </c>
      <c r="F9" s="4">
        <v>19285</v>
      </c>
      <c r="G9" t="s">
        <v>21</v>
      </c>
      <c r="H9" s="4">
        <v>2520</v>
      </c>
      <c r="I9" s="2" t="s">
        <v>3</v>
      </c>
      <c r="J9" s="4">
        <v>1870</v>
      </c>
      <c r="K9" t="s">
        <v>21</v>
      </c>
      <c r="L9" s="4">
        <v>2500</v>
      </c>
      <c r="M9" t="s">
        <v>21</v>
      </c>
      <c r="N9" s="4">
        <v>4295</v>
      </c>
      <c r="O9" t="s">
        <v>21</v>
      </c>
      <c r="P9" s="4">
        <v>7470</v>
      </c>
      <c r="Q9" s="2" t="s">
        <v>3</v>
      </c>
      <c r="R9" s="4">
        <v>13225</v>
      </c>
      <c r="S9" t="s">
        <v>21</v>
      </c>
      <c r="T9" s="4">
        <v>35205</v>
      </c>
      <c r="U9" s="2" t="s">
        <v>3</v>
      </c>
      <c r="V9" s="3">
        <v>1590</v>
      </c>
    </row>
    <row r="10" spans="1:22" x14ac:dyDescent="0.3">
      <c r="A10" t="s">
        <v>16</v>
      </c>
      <c r="B10" s="4">
        <v>14140</v>
      </c>
      <c r="C10" t="s">
        <v>16</v>
      </c>
      <c r="D10" s="4">
        <v>6415</v>
      </c>
      <c r="E10" t="s">
        <v>16</v>
      </c>
      <c r="F10" s="4">
        <v>7725</v>
      </c>
      <c r="G10" t="s">
        <v>13</v>
      </c>
      <c r="H10" s="4">
        <v>1390</v>
      </c>
      <c r="I10" t="s">
        <v>21</v>
      </c>
      <c r="J10" s="4">
        <v>1410</v>
      </c>
      <c r="K10" t="s">
        <v>13</v>
      </c>
      <c r="L10" s="4">
        <v>1700</v>
      </c>
      <c r="M10" t="s">
        <v>16</v>
      </c>
      <c r="N10" s="4">
        <v>1985</v>
      </c>
      <c r="O10" t="s">
        <v>16</v>
      </c>
      <c r="P10" s="4">
        <v>2745</v>
      </c>
      <c r="Q10" t="s">
        <v>16</v>
      </c>
      <c r="R10" s="4">
        <v>4200</v>
      </c>
      <c r="S10" t="s">
        <v>16</v>
      </c>
      <c r="T10" s="4">
        <v>14140</v>
      </c>
      <c r="U10" t="s">
        <v>4</v>
      </c>
      <c r="V10" s="3">
        <v>1380</v>
      </c>
    </row>
    <row r="11" spans="1:22" x14ac:dyDescent="0.3">
      <c r="A11" t="s">
        <v>13</v>
      </c>
      <c r="B11" s="4">
        <v>9195</v>
      </c>
      <c r="C11" t="s">
        <v>13</v>
      </c>
      <c r="D11" s="4">
        <v>4990</v>
      </c>
      <c r="E11" t="s">
        <v>13</v>
      </c>
      <c r="F11" s="4">
        <v>4205</v>
      </c>
      <c r="G11" t="s">
        <v>16</v>
      </c>
      <c r="H11" s="4">
        <v>1305</v>
      </c>
      <c r="I11" t="s">
        <v>7</v>
      </c>
      <c r="J11" s="4">
        <v>1160</v>
      </c>
      <c r="K11" t="s">
        <v>16</v>
      </c>
      <c r="L11" s="4">
        <v>1215</v>
      </c>
      <c r="M11" t="s">
        <v>17</v>
      </c>
      <c r="N11" s="5">
        <v>830</v>
      </c>
      <c r="O11" t="s">
        <v>17</v>
      </c>
      <c r="P11" s="4">
        <v>1070</v>
      </c>
      <c r="Q11" t="s">
        <v>17</v>
      </c>
      <c r="R11" s="4">
        <v>2135</v>
      </c>
      <c r="S11" t="s">
        <v>13</v>
      </c>
      <c r="T11" s="4">
        <v>9195</v>
      </c>
      <c r="U11" t="s">
        <v>15</v>
      </c>
      <c r="V11" s="3">
        <v>1100</v>
      </c>
    </row>
    <row r="12" spans="1:22" x14ac:dyDescent="0.3">
      <c r="A12" t="s">
        <v>17</v>
      </c>
      <c r="B12" s="4">
        <v>5460</v>
      </c>
      <c r="C12" t="s">
        <v>17</v>
      </c>
      <c r="D12" s="4">
        <v>2495</v>
      </c>
      <c r="E12" t="s">
        <v>17</v>
      </c>
      <c r="F12" s="4">
        <v>2965</v>
      </c>
      <c r="G12" t="s">
        <v>19</v>
      </c>
      <c r="H12" s="5">
        <v>980</v>
      </c>
      <c r="I12" t="s">
        <v>16</v>
      </c>
      <c r="J12" s="4">
        <v>1070</v>
      </c>
      <c r="K12" t="s">
        <v>7</v>
      </c>
      <c r="L12" s="5">
        <v>480</v>
      </c>
      <c r="M12" t="s">
        <v>13</v>
      </c>
      <c r="N12" s="5">
        <v>645</v>
      </c>
      <c r="O12" t="s">
        <v>8</v>
      </c>
      <c r="P12" s="5">
        <v>455</v>
      </c>
      <c r="Q12" t="s">
        <v>8</v>
      </c>
      <c r="R12" s="5">
        <v>970</v>
      </c>
      <c r="S12" t="s">
        <v>17</v>
      </c>
      <c r="T12" s="4">
        <v>5460</v>
      </c>
      <c r="U12" t="s">
        <v>16</v>
      </c>
      <c r="V12" s="3">
        <v>970</v>
      </c>
    </row>
    <row r="13" spans="1:22" x14ac:dyDescent="0.3">
      <c r="A13" t="s">
        <v>7</v>
      </c>
      <c r="B13" s="4">
        <v>3335</v>
      </c>
      <c r="C13" t="s">
        <v>7</v>
      </c>
      <c r="D13" s="4">
        <v>1980</v>
      </c>
      <c r="E13" t="s">
        <v>8</v>
      </c>
      <c r="F13" s="4">
        <v>1420</v>
      </c>
      <c r="G13" t="s">
        <v>7</v>
      </c>
      <c r="H13" s="5">
        <v>730</v>
      </c>
      <c r="I13" t="s">
        <v>19</v>
      </c>
      <c r="J13" s="5">
        <v>510</v>
      </c>
      <c r="K13" t="s">
        <v>15</v>
      </c>
      <c r="L13" s="5">
        <v>410</v>
      </c>
      <c r="M13" t="s">
        <v>8</v>
      </c>
      <c r="N13" s="5">
        <v>325</v>
      </c>
      <c r="O13" t="s">
        <v>13</v>
      </c>
      <c r="P13" s="5">
        <v>315</v>
      </c>
      <c r="Q13" t="s">
        <v>10</v>
      </c>
      <c r="R13" s="5">
        <v>380</v>
      </c>
      <c r="S13" t="s">
        <v>7</v>
      </c>
      <c r="T13" s="4">
        <v>3335</v>
      </c>
      <c r="U13" t="s">
        <v>21</v>
      </c>
      <c r="V13" s="3">
        <v>755</v>
      </c>
    </row>
    <row r="14" spans="1:22" x14ac:dyDescent="0.3">
      <c r="A14" t="s">
        <v>8</v>
      </c>
      <c r="B14" s="4">
        <v>2600</v>
      </c>
      <c r="C14" t="s">
        <v>8</v>
      </c>
      <c r="D14" s="4">
        <v>1185</v>
      </c>
      <c r="E14" t="s">
        <v>7</v>
      </c>
      <c r="F14" s="4">
        <v>1365</v>
      </c>
      <c r="G14" t="s">
        <v>17</v>
      </c>
      <c r="H14" s="5">
        <v>440</v>
      </c>
      <c r="I14" t="s">
        <v>17</v>
      </c>
      <c r="J14" s="5">
        <v>265</v>
      </c>
      <c r="K14" t="s">
        <v>17</v>
      </c>
      <c r="L14" s="5">
        <v>325</v>
      </c>
      <c r="M14" t="s">
        <v>15</v>
      </c>
      <c r="N14" s="4">
        <v>305</v>
      </c>
      <c r="O14" t="s">
        <v>15</v>
      </c>
      <c r="P14" s="4">
        <v>210</v>
      </c>
      <c r="Q14" t="s">
        <v>15</v>
      </c>
      <c r="R14" s="5">
        <v>195</v>
      </c>
      <c r="S14" t="s">
        <v>8</v>
      </c>
      <c r="T14" s="4">
        <v>2600</v>
      </c>
      <c r="U14" t="s">
        <v>5</v>
      </c>
      <c r="V14" s="3">
        <v>485</v>
      </c>
    </row>
    <row r="15" spans="1:22" x14ac:dyDescent="0.3">
      <c r="A15" t="s">
        <v>15</v>
      </c>
      <c r="B15" s="5">
        <v>1830</v>
      </c>
      <c r="C15" t="s">
        <v>19</v>
      </c>
      <c r="D15" s="5">
        <v>940</v>
      </c>
      <c r="E15" t="s">
        <v>15</v>
      </c>
      <c r="F15" s="4">
        <v>975</v>
      </c>
      <c r="G15" t="s">
        <v>15</v>
      </c>
      <c r="H15" s="4">
        <v>210</v>
      </c>
      <c r="I15" t="s">
        <v>8</v>
      </c>
      <c r="J15" s="5">
        <v>195</v>
      </c>
      <c r="K15" t="s">
        <v>8</v>
      </c>
      <c r="L15" s="5">
        <v>305</v>
      </c>
      <c r="M15" t="s">
        <v>7</v>
      </c>
      <c r="N15" s="5">
        <v>255</v>
      </c>
      <c r="O15" t="s">
        <v>10</v>
      </c>
      <c r="P15" s="5">
        <v>190</v>
      </c>
      <c r="Q15" t="s">
        <v>9</v>
      </c>
      <c r="R15" s="5">
        <v>195</v>
      </c>
      <c r="S15" t="s">
        <v>19</v>
      </c>
      <c r="T15" s="4">
        <v>1780</v>
      </c>
      <c r="U15" t="s">
        <v>17</v>
      </c>
      <c r="V15" s="3">
        <v>455</v>
      </c>
    </row>
    <row r="16" spans="1:22" x14ac:dyDescent="0.3">
      <c r="A16" t="s">
        <v>19</v>
      </c>
      <c r="B16" s="4">
        <v>1780</v>
      </c>
      <c r="C16" t="s">
        <v>15</v>
      </c>
      <c r="D16" s="4">
        <v>865</v>
      </c>
      <c r="E16" t="s">
        <v>19</v>
      </c>
      <c r="F16" s="5">
        <v>845</v>
      </c>
      <c r="G16" t="s">
        <v>5</v>
      </c>
      <c r="H16" s="5">
        <v>170</v>
      </c>
      <c r="I16" t="s">
        <v>15</v>
      </c>
      <c r="J16" s="4">
        <v>190</v>
      </c>
      <c r="K16" t="s">
        <v>5</v>
      </c>
      <c r="L16" s="5">
        <v>215</v>
      </c>
      <c r="M16" t="s">
        <v>5</v>
      </c>
      <c r="N16" s="5">
        <v>250</v>
      </c>
      <c r="O16" t="s">
        <v>20</v>
      </c>
      <c r="P16" s="5">
        <v>125</v>
      </c>
      <c r="Q16" t="s">
        <v>13</v>
      </c>
      <c r="R16" s="5">
        <v>175</v>
      </c>
      <c r="S16" t="s">
        <v>5</v>
      </c>
      <c r="T16" s="4">
        <v>1120</v>
      </c>
      <c r="U16" t="s">
        <v>19</v>
      </c>
      <c r="V16" s="3">
        <v>395</v>
      </c>
    </row>
    <row r="17" spans="1:22" x14ac:dyDescent="0.3">
      <c r="A17" t="s">
        <v>5</v>
      </c>
      <c r="B17" s="4">
        <v>1120</v>
      </c>
      <c r="C17" t="s">
        <v>5</v>
      </c>
      <c r="D17" s="5">
        <v>615</v>
      </c>
      <c r="E17" t="s">
        <v>10</v>
      </c>
      <c r="F17" s="5">
        <v>530</v>
      </c>
      <c r="G17" t="s">
        <v>8</v>
      </c>
      <c r="H17" s="5">
        <v>145</v>
      </c>
      <c r="I17" t="s">
        <v>5</v>
      </c>
      <c r="J17" s="5">
        <v>175</v>
      </c>
      <c r="K17" t="s">
        <v>9</v>
      </c>
      <c r="L17" s="5">
        <v>145</v>
      </c>
      <c r="M17" t="s">
        <v>10</v>
      </c>
      <c r="N17" s="5">
        <v>140</v>
      </c>
      <c r="O17" t="s">
        <v>12</v>
      </c>
      <c r="P17" s="5">
        <v>125</v>
      </c>
      <c r="Q17" t="s">
        <v>12</v>
      </c>
      <c r="R17" s="5">
        <v>170</v>
      </c>
      <c r="S17" t="s">
        <v>20</v>
      </c>
      <c r="T17" s="4">
        <v>1005</v>
      </c>
      <c r="U17" t="s">
        <v>9</v>
      </c>
      <c r="V17" s="3">
        <v>390</v>
      </c>
    </row>
    <row r="18" spans="1:22" x14ac:dyDescent="0.3">
      <c r="A18" t="s">
        <v>20</v>
      </c>
      <c r="B18" s="4">
        <v>1005</v>
      </c>
      <c r="C18" t="s">
        <v>9</v>
      </c>
      <c r="D18" s="5">
        <v>540</v>
      </c>
      <c r="E18" t="s">
        <v>20</v>
      </c>
      <c r="F18" s="5">
        <v>515</v>
      </c>
      <c r="G18" t="s">
        <v>20</v>
      </c>
      <c r="H18" s="5">
        <v>140</v>
      </c>
      <c r="I18" t="s">
        <v>20</v>
      </c>
      <c r="J18" s="5">
        <v>170</v>
      </c>
      <c r="K18" t="s">
        <v>20</v>
      </c>
      <c r="L18" s="5">
        <v>120</v>
      </c>
      <c r="M18" t="s">
        <v>9</v>
      </c>
      <c r="N18" s="5">
        <v>135</v>
      </c>
      <c r="O18" t="s">
        <v>9</v>
      </c>
      <c r="P18" s="5">
        <v>105</v>
      </c>
      <c r="Q18" t="s">
        <v>5</v>
      </c>
      <c r="R18" s="5">
        <v>145</v>
      </c>
      <c r="S18" t="s">
        <v>9</v>
      </c>
      <c r="T18" s="4">
        <v>1000</v>
      </c>
      <c r="U18" t="s">
        <v>10</v>
      </c>
      <c r="V18" s="3">
        <v>265</v>
      </c>
    </row>
    <row r="19" spans="1:22" x14ac:dyDescent="0.3">
      <c r="A19" t="s">
        <v>9</v>
      </c>
      <c r="B19" s="4">
        <v>1000</v>
      </c>
      <c r="C19" t="s">
        <v>20</v>
      </c>
      <c r="D19" s="5">
        <v>485</v>
      </c>
      <c r="E19" t="s">
        <v>5</v>
      </c>
      <c r="F19" s="5">
        <v>500</v>
      </c>
      <c r="G19" t="s">
        <v>9</v>
      </c>
      <c r="H19" s="5">
        <v>130</v>
      </c>
      <c r="I19" t="s">
        <v>9</v>
      </c>
      <c r="J19" s="5">
        <v>140</v>
      </c>
      <c r="K19" t="s">
        <v>19</v>
      </c>
      <c r="L19" s="5">
        <v>110</v>
      </c>
      <c r="M19" t="s">
        <v>20</v>
      </c>
      <c r="N19" s="5">
        <v>130</v>
      </c>
      <c r="O19" t="s">
        <v>7</v>
      </c>
      <c r="P19" s="5">
        <v>100</v>
      </c>
      <c r="Q19" t="s">
        <v>7</v>
      </c>
      <c r="R19" s="5">
        <v>105</v>
      </c>
      <c r="S19" t="s">
        <v>10</v>
      </c>
      <c r="T19" s="5">
        <v>970</v>
      </c>
      <c r="U19" t="s">
        <v>8</v>
      </c>
      <c r="V19" s="3">
        <v>245</v>
      </c>
    </row>
    <row r="20" spans="1:22" x14ac:dyDescent="0.3">
      <c r="A20" t="s">
        <v>10</v>
      </c>
      <c r="B20" s="5">
        <v>970</v>
      </c>
      <c r="C20" t="s">
        <v>10</v>
      </c>
      <c r="D20" s="5">
        <v>445</v>
      </c>
      <c r="E20" t="s">
        <v>9</v>
      </c>
      <c r="F20" s="5">
        <v>460</v>
      </c>
      <c r="G20" t="s">
        <v>12</v>
      </c>
      <c r="H20" s="5">
        <v>100</v>
      </c>
      <c r="I20" t="s">
        <v>12</v>
      </c>
      <c r="J20" s="5">
        <v>65</v>
      </c>
      <c r="K20" t="s">
        <v>12</v>
      </c>
      <c r="L20" s="5">
        <v>95</v>
      </c>
      <c r="M20" t="s">
        <v>12</v>
      </c>
      <c r="N20" s="5">
        <v>90</v>
      </c>
      <c r="O20" t="s">
        <v>5</v>
      </c>
      <c r="P20" s="5">
        <v>95</v>
      </c>
      <c r="Q20" t="s">
        <v>20</v>
      </c>
      <c r="R20" s="5">
        <v>65</v>
      </c>
      <c r="S20" t="s">
        <v>12</v>
      </c>
      <c r="T20" s="5">
        <v>805</v>
      </c>
      <c r="U20" t="s">
        <v>12</v>
      </c>
      <c r="V20" s="3">
        <v>100</v>
      </c>
    </row>
    <row r="21" spans="1:22" x14ac:dyDescent="0.3">
      <c r="A21" t="s">
        <v>12</v>
      </c>
      <c r="B21" s="5">
        <v>805</v>
      </c>
      <c r="C21" t="s">
        <v>12</v>
      </c>
      <c r="D21" s="5">
        <v>355</v>
      </c>
      <c r="E21" t="s">
        <v>12</v>
      </c>
      <c r="F21" s="5">
        <v>445</v>
      </c>
      <c r="G21" t="s">
        <v>10</v>
      </c>
      <c r="H21" s="5">
        <v>45</v>
      </c>
      <c r="I21" t="s">
        <v>10</v>
      </c>
      <c r="J21" s="5">
        <v>65</v>
      </c>
      <c r="K21" t="s">
        <v>10</v>
      </c>
      <c r="L21" s="5">
        <v>85</v>
      </c>
      <c r="M21" t="s">
        <v>19</v>
      </c>
      <c r="N21" s="5">
        <v>45</v>
      </c>
      <c r="O21" t="s">
        <v>11</v>
      </c>
      <c r="P21" s="5">
        <v>25</v>
      </c>
      <c r="Q21" t="s">
        <v>11</v>
      </c>
      <c r="R21" s="5">
        <v>55</v>
      </c>
      <c r="S21" t="s">
        <v>15</v>
      </c>
      <c r="T21" s="4">
        <v>570</v>
      </c>
      <c r="U21" t="s">
        <v>20</v>
      </c>
      <c r="V21" s="3">
        <v>40</v>
      </c>
    </row>
    <row r="22" spans="1:22" x14ac:dyDescent="0.3">
      <c r="A22" t="s">
        <v>11</v>
      </c>
      <c r="B22" s="5">
        <v>345</v>
      </c>
      <c r="C22" t="s">
        <v>11</v>
      </c>
      <c r="D22" s="5">
        <v>175</v>
      </c>
      <c r="E22" t="s">
        <v>11</v>
      </c>
      <c r="F22" s="5">
        <v>175</v>
      </c>
      <c r="G22" t="s">
        <v>11</v>
      </c>
      <c r="H22" s="5">
        <v>20</v>
      </c>
      <c r="I22" t="s">
        <v>11</v>
      </c>
      <c r="J22" s="5">
        <v>25</v>
      </c>
      <c r="K22" t="s">
        <v>11</v>
      </c>
      <c r="L22" s="5">
        <v>50</v>
      </c>
      <c r="M22" t="s">
        <v>18</v>
      </c>
      <c r="N22" s="5">
        <v>30</v>
      </c>
      <c r="O22" t="s">
        <v>19</v>
      </c>
      <c r="P22" s="5">
        <v>20</v>
      </c>
      <c r="Q22" t="s">
        <v>18</v>
      </c>
      <c r="R22" s="5">
        <v>20</v>
      </c>
      <c r="S22" t="s">
        <v>11</v>
      </c>
      <c r="T22" s="5">
        <v>345</v>
      </c>
      <c r="U22" t="s">
        <v>11</v>
      </c>
      <c r="V22" s="3">
        <v>20</v>
      </c>
    </row>
    <row r="23" spans="1:22" x14ac:dyDescent="0.3">
      <c r="A23" t="s">
        <v>18</v>
      </c>
      <c r="B23" s="5">
        <v>110</v>
      </c>
      <c r="C23" t="s">
        <v>18</v>
      </c>
      <c r="D23" s="5">
        <v>45</v>
      </c>
      <c r="E23" t="s">
        <v>18</v>
      </c>
      <c r="F23" s="5">
        <v>65</v>
      </c>
      <c r="G23" t="s">
        <v>18</v>
      </c>
      <c r="H23" s="4">
        <v>10</v>
      </c>
      <c r="I23" t="s">
        <v>18</v>
      </c>
      <c r="J23" s="5">
        <v>0</v>
      </c>
      <c r="K23" t="s">
        <v>18</v>
      </c>
      <c r="L23" s="5">
        <v>20</v>
      </c>
      <c r="M23" t="s">
        <v>11</v>
      </c>
      <c r="N23" s="5">
        <v>25</v>
      </c>
      <c r="O23" t="s">
        <v>18</v>
      </c>
      <c r="P23" s="5">
        <v>10</v>
      </c>
      <c r="Q23" t="s">
        <v>19</v>
      </c>
      <c r="R23" s="5">
        <v>15</v>
      </c>
      <c r="S23" t="s">
        <v>18</v>
      </c>
      <c r="T23" s="4">
        <v>110</v>
      </c>
      <c r="U23" t="s">
        <v>18</v>
      </c>
      <c r="V23" s="3">
        <v>15</v>
      </c>
    </row>
  </sheetData>
  <sortState xmlns:xlrd2="http://schemas.microsoft.com/office/spreadsheetml/2017/richdata2" ref="S5:T23">
    <sortCondition descending="1" ref="T23"/>
  </sortState>
  <mergeCells count="12">
    <mergeCell ref="A1:B1"/>
    <mergeCell ref="A3:B3"/>
    <mergeCell ref="C3:D3"/>
    <mergeCell ref="E3:F3"/>
    <mergeCell ref="G3:H3"/>
    <mergeCell ref="S3:T3"/>
    <mergeCell ref="U3:V3"/>
    <mergeCell ref="I3:J3"/>
    <mergeCell ref="K3:L3"/>
    <mergeCell ref="M3:N3"/>
    <mergeCell ref="O3:P3"/>
    <mergeCell ref="Q3:R3"/>
  </mergeCells>
  <conditionalFormatting sqref="A5:A2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B4 A8:B8 A5:A7 A9:A2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2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2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4 C22:D22 C5:C21 C2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D2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2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4 E8:F8 E5:E7 E9:E2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F2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2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H23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H12 G5:G11 G20:H20 G13:G19 G21:G2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2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J2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J23 J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2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L2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2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R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T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V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ABA5-F3DF-4730-B55E-92A6E6ACA50C}">
  <dimension ref="A1:V23"/>
  <sheetViews>
    <sheetView tabSelected="1" topLeftCell="M1" zoomScale="56" workbookViewId="0">
      <selection activeCell="S29" sqref="S29"/>
    </sheetView>
  </sheetViews>
  <sheetFormatPr defaultRowHeight="14.4" x14ac:dyDescent="0.3"/>
  <cols>
    <col min="1" max="22" width="18.77734375" customWidth="1"/>
  </cols>
  <sheetData>
    <row r="1" spans="1:22" x14ac:dyDescent="0.3">
      <c r="A1" s="15" t="s">
        <v>60</v>
      </c>
      <c r="B1" s="15"/>
    </row>
    <row r="3" spans="1:22" x14ac:dyDescent="0.3">
      <c r="A3" s="15" t="s">
        <v>56</v>
      </c>
      <c r="B3" s="15"/>
      <c r="C3" s="16" t="s">
        <v>38</v>
      </c>
      <c r="D3" s="16"/>
      <c r="E3" s="16" t="s">
        <v>39</v>
      </c>
      <c r="F3" s="16"/>
      <c r="G3" s="15" t="s">
        <v>48</v>
      </c>
      <c r="H3" s="15"/>
      <c r="I3" s="15" t="s">
        <v>49</v>
      </c>
      <c r="J3" s="15"/>
      <c r="K3" s="15" t="s">
        <v>50</v>
      </c>
      <c r="L3" s="15"/>
      <c r="M3" s="15" t="s">
        <v>51</v>
      </c>
      <c r="N3" s="15"/>
      <c r="O3" s="15" t="s">
        <v>52</v>
      </c>
      <c r="P3" s="15"/>
      <c r="Q3" s="15" t="s">
        <v>53</v>
      </c>
      <c r="R3" s="15"/>
      <c r="S3" s="15" t="s">
        <v>36</v>
      </c>
      <c r="T3" s="15"/>
      <c r="U3" s="15" t="s">
        <v>37</v>
      </c>
      <c r="V3" s="15"/>
    </row>
    <row r="4" spans="1:22" x14ac:dyDescent="0.3">
      <c r="A4" s="1" t="s">
        <v>0</v>
      </c>
      <c r="B4" s="1" t="s">
        <v>1</v>
      </c>
      <c r="C4" s="1" t="s">
        <v>0</v>
      </c>
      <c r="D4" s="1" t="s">
        <v>1</v>
      </c>
      <c r="E4" s="1" t="s">
        <v>0</v>
      </c>
      <c r="F4" s="1" t="s">
        <v>1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1</v>
      </c>
      <c r="M4" s="1" t="s">
        <v>0</v>
      </c>
      <c r="N4" s="1" t="s">
        <v>1</v>
      </c>
      <c r="O4" s="1" t="s">
        <v>0</v>
      </c>
      <c r="P4" s="1" t="s">
        <v>1</v>
      </c>
      <c r="Q4" s="1" t="s">
        <v>0</v>
      </c>
      <c r="R4" s="1" t="s">
        <v>1</v>
      </c>
      <c r="S4" s="1" t="s">
        <v>40</v>
      </c>
      <c r="T4" s="1" t="s">
        <v>1</v>
      </c>
      <c r="U4" s="1" t="s">
        <v>40</v>
      </c>
      <c r="V4" s="1" t="s">
        <v>1</v>
      </c>
    </row>
    <row r="5" spans="1:22" x14ac:dyDescent="0.3">
      <c r="A5" t="s">
        <v>6</v>
      </c>
      <c r="B5" s="4">
        <v>51785</v>
      </c>
      <c r="C5" t="s">
        <v>6</v>
      </c>
      <c r="D5" s="4">
        <v>24745</v>
      </c>
      <c r="E5" t="s">
        <v>6</v>
      </c>
      <c r="F5" s="4">
        <v>27040</v>
      </c>
      <c r="G5" t="s">
        <v>14</v>
      </c>
      <c r="H5" s="4">
        <v>5850</v>
      </c>
      <c r="I5" t="s">
        <v>14</v>
      </c>
      <c r="J5" s="4">
        <v>7785</v>
      </c>
      <c r="K5" t="s">
        <v>14</v>
      </c>
      <c r="L5" s="4">
        <v>6565</v>
      </c>
      <c r="M5" t="s">
        <v>6</v>
      </c>
      <c r="N5" s="4">
        <v>7105</v>
      </c>
      <c r="O5" t="s">
        <v>6</v>
      </c>
      <c r="P5" s="4">
        <v>9420</v>
      </c>
      <c r="Q5" t="s">
        <v>6</v>
      </c>
      <c r="R5" s="4">
        <v>12630</v>
      </c>
      <c r="S5" t="s">
        <v>6</v>
      </c>
      <c r="T5" s="4">
        <v>48670</v>
      </c>
      <c r="U5" t="s">
        <v>14</v>
      </c>
      <c r="V5" s="3"/>
    </row>
    <row r="6" spans="1:22" x14ac:dyDescent="0.3">
      <c r="A6" t="s">
        <v>14</v>
      </c>
      <c r="B6" s="4">
        <v>42830</v>
      </c>
      <c r="C6" t="s">
        <v>14</v>
      </c>
      <c r="D6" s="4">
        <v>22390</v>
      </c>
      <c r="E6" t="s">
        <v>14</v>
      </c>
      <c r="F6" s="4">
        <v>20445</v>
      </c>
      <c r="G6" t="s">
        <v>6</v>
      </c>
      <c r="H6" s="4">
        <v>5615</v>
      </c>
      <c r="I6" t="s">
        <v>6</v>
      </c>
      <c r="J6" s="4">
        <v>4635</v>
      </c>
      <c r="K6" t="s">
        <v>6</v>
      </c>
      <c r="L6" s="4">
        <v>5650</v>
      </c>
      <c r="M6" t="s">
        <v>14</v>
      </c>
      <c r="N6" s="4">
        <v>5135</v>
      </c>
      <c r="O6" t="s">
        <v>14</v>
      </c>
      <c r="P6" s="4">
        <v>4110</v>
      </c>
      <c r="Q6" t="s">
        <v>21</v>
      </c>
      <c r="R6" s="4">
        <v>5105</v>
      </c>
      <c r="S6" t="s">
        <v>14</v>
      </c>
      <c r="T6" s="4">
        <v>37615</v>
      </c>
      <c r="U6" t="s">
        <v>6</v>
      </c>
      <c r="V6" s="3"/>
    </row>
    <row r="7" spans="1:22" x14ac:dyDescent="0.3">
      <c r="A7" t="s">
        <v>21</v>
      </c>
      <c r="B7" s="4">
        <v>14635</v>
      </c>
      <c r="C7" t="s">
        <v>21</v>
      </c>
      <c r="D7" s="4">
        <v>6560</v>
      </c>
      <c r="E7" t="s">
        <v>21</v>
      </c>
      <c r="F7" s="4">
        <v>8070</v>
      </c>
      <c r="G7" t="s">
        <v>21</v>
      </c>
      <c r="H7" s="4">
        <v>1205</v>
      </c>
      <c r="I7" t="s">
        <v>21</v>
      </c>
      <c r="J7" s="5">
        <v>945</v>
      </c>
      <c r="K7" t="s">
        <v>21</v>
      </c>
      <c r="L7" s="4">
        <v>1175</v>
      </c>
      <c r="M7" t="s">
        <v>21</v>
      </c>
      <c r="N7" s="4">
        <v>1825</v>
      </c>
      <c r="O7" t="s">
        <v>21</v>
      </c>
      <c r="P7" s="4">
        <v>2945</v>
      </c>
      <c r="Q7" t="s">
        <v>14</v>
      </c>
      <c r="R7" s="4">
        <v>3615</v>
      </c>
      <c r="S7" t="s">
        <v>21</v>
      </c>
      <c r="T7" s="4">
        <v>14380</v>
      </c>
      <c r="U7" t="s">
        <v>13</v>
      </c>
      <c r="V7" s="3"/>
    </row>
    <row r="8" spans="1:22" x14ac:dyDescent="0.3">
      <c r="A8" t="s">
        <v>17</v>
      </c>
      <c r="B8" s="4">
        <v>6520</v>
      </c>
      <c r="C8" t="s">
        <v>17</v>
      </c>
      <c r="D8" s="4">
        <v>3095</v>
      </c>
      <c r="E8" t="s">
        <v>17</v>
      </c>
      <c r="F8" s="4">
        <v>3425</v>
      </c>
      <c r="G8" t="s">
        <v>19</v>
      </c>
      <c r="H8" s="5">
        <v>765</v>
      </c>
      <c r="I8" t="s">
        <v>17</v>
      </c>
      <c r="J8" s="5">
        <v>415</v>
      </c>
      <c r="K8" t="s">
        <v>17</v>
      </c>
      <c r="L8" s="5">
        <v>545</v>
      </c>
      <c r="M8" s="2" t="s">
        <v>3</v>
      </c>
      <c r="N8" s="5">
        <v>785</v>
      </c>
      <c r="O8" t="s">
        <v>17</v>
      </c>
      <c r="P8" s="4">
        <v>1300</v>
      </c>
      <c r="Q8" t="s">
        <v>17</v>
      </c>
      <c r="R8" s="4">
        <v>2210</v>
      </c>
      <c r="S8" t="s">
        <v>17</v>
      </c>
      <c r="T8" s="4">
        <v>6335</v>
      </c>
      <c r="U8" t="s">
        <v>7</v>
      </c>
      <c r="V8" s="3"/>
    </row>
    <row r="9" spans="1:22" x14ac:dyDescent="0.3">
      <c r="A9" s="2" t="s">
        <v>3</v>
      </c>
      <c r="B9" s="4">
        <v>5025</v>
      </c>
      <c r="C9" s="2" t="s">
        <v>3</v>
      </c>
      <c r="D9" s="4">
        <v>2250</v>
      </c>
      <c r="E9" s="2" t="s">
        <v>3</v>
      </c>
      <c r="F9" s="4">
        <v>2770</v>
      </c>
      <c r="G9" t="s">
        <v>17</v>
      </c>
      <c r="H9" s="5">
        <v>630</v>
      </c>
      <c r="I9" t="s">
        <v>4</v>
      </c>
      <c r="J9" s="5">
        <v>410</v>
      </c>
      <c r="K9" s="2" t="s">
        <v>3</v>
      </c>
      <c r="L9" s="5">
        <v>395</v>
      </c>
      <c r="M9" t="s">
        <v>17</v>
      </c>
      <c r="N9" s="5">
        <v>750</v>
      </c>
      <c r="O9" s="2" t="s">
        <v>3</v>
      </c>
      <c r="P9" s="4">
        <v>1030</v>
      </c>
      <c r="Q9" s="2" t="s">
        <v>3</v>
      </c>
      <c r="R9" s="4">
        <v>1725</v>
      </c>
      <c r="S9" s="2" t="s">
        <v>3</v>
      </c>
      <c r="T9" s="4">
        <v>4595</v>
      </c>
      <c r="U9" s="2" t="s">
        <v>3</v>
      </c>
      <c r="V9" s="3"/>
    </row>
    <row r="10" spans="1:22" x14ac:dyDescent="0.3">
      <c r="A10" t="s">
        <v>4</v>
      </c>
      <c r="B10" s="4">
        <v>4700</v>
      </c>
      <c r="C10" t="s">
        <v>4</v>
      </c>
      <c r="D10" s="4">
        <v>2140</v>
      </c>
      <c r="E10" t="s">
        <v>4</v>
      </c>
      <c r="F10" s="4">
        <v>2560</v>
      </c>
      <c r="G10" t="s">
        <v>7</v>
      </c>
      <c r="H10" s="5">
        <v>540</v>
      </c>
      <c r="I10" t="s">
        <v>7</v>
      </c>
      <c r="J10" s="5">
        <v>390</v>
      </c>
      <c r="K10" t="s">
        <v>4</v>
      </c>
      <c r="L10" s="5">
        <v>350</v>
      </c>
      <c r="M10" t="s">
        <v>4</v>
      </c>
      <c r="N10" s="5">
        <v>625</v>
      </c>
      <c r="O10" t="s">
        <v>4</v>
      </c>
      <c r="P10" s="5">
        <v>885</v>
      </c>
      <c r="Q10" t="s">
        <v>4</v>
      </c>
      <c r="R10" s="4">
        <v>1350</v>
      </c>
      <c r="S10" t="s">
        <v>4</v>
      </c>
      <c r="T10" s="4">
        <v>4390</v>
      </c>
      <c r="U10" t="s">
        <v>4</v>
      </c>
      <c r="V10" s="3"/>
    </row>
    <row r="11" spans="1:22" x14ac:dyDescent="0.3">
      <c r="A11" t="s">
        <v>13</v>
      </c>
      <c r="B11" s="4">
        <v>1720</v>
      </c>
      <c r="C11" t="s">
        <v>13</v>
      </c>
      <c r="D11" s="5">
        <v>985</v>
      </c>
      <c r="E11" t="s">
        <v>13</v>
      </c>
      <c r="F11" s="5">
        <v>735</v>
      </c>
      <c r="G11" t="s">
        <v>4</v>
      </c>
      <c r="H11" s="5">
        <v>510</v>
      </c>
      <c r="I11" t="s">
        <v>19</v>
      </c>
      <c r="J11" s="5">
        <v>315</v>
      </c>
      <c r="K11" t="s">
        <v>13</v>
      </c>
      <c r="L11" s="5">
        <v>230</v>
      </c>
      <c r="M11" t="s">
        <v>13</v>
      </c>
      <c r="N11" s="5">
        <v>200</v>
      </c>
      <c r="O11" t="s">
        <v>16</v>
      </c>
      <c r="P11" s="5">
        <v>125</v>
      </c>
      <c r="Q11" t="s">
        <v>8</v>
      </c>
      <c r="R11" s="5">
        <v>185</v>
      </c>
      <c r="S11" t="s">
        <v>16</v>
      </c>
      <c r="T11" s="5">
        <v>775</v>
      </c>
      <c r="U11" t="s">
        <v>15</v>
      </c>
      <c r="V11" s="3"/>
    </row>
    <row r="12" spans="1:22" x14ac:dyDescent="0.3">
      <c r="A12" t="s">
        <v>7</v>
      </c>
      <c r="B12" s="4">
        <v>1245</v>
      </c>
      <c r="C12" t="s">
        <v>7</v>
      </c>
      <c r="D12" s="5">
        <v>835</v>
      </c>
      <c r="E12" t="s">
        <v>16</v>
      </c>
      <c r="F12" s="4">
        <v>495</v>
      </c>
      <c r="G12" s="2" t="s">
        <v>3</v>
      </c>
      <c r="H12" s="5">
        <v>480</v>
      </c>
      <c r="I12" s="2" t="s">
        <v>3</v>
      </c>
      <c r="J12" s="5">
        <v>265</v>
      </c>
      <c r="K12" t="s">
        <v>16</v>
      </c>
      <c r="L12" s="5">
        <v>140</v>
      </c>
      <c r="M12" t="s">
        <v>5</v>
      </c>
      <c r="N12" s="5">
        <v>200</v>
      </c>
      <c r="O12" t="s">
        <v>5</v>
      </c>
      <c r="P12" s="5">
        <v>120</v>
      </c>
      <c r="Q12" t="s">
        <v>16</v>
      </c>
      <c r="R12" s="5">
        <v>155</v>
      </c>
      <c r="S12" t="s">
        <v>8</v>
      </c>
      <c r="T12" s="5">
        <v>415</v>
      </c>
      <c r="U12" t="s">
        <v>16</v>
      </c>
      <c r="V12" s="3"/>
    </row>
    <row r="13" spans="1:22" x14ac:dyDescent="0.3">
      <c r="A13" t="s">
        <v>19</v>
      </c>
      <c r="B13" s="4">
        <v>1170</v>
      </c>
      <c r="C13" t="s">
        <v>19</v>
      </c>
      <c r="D13" s="5">
        <v>685</v>
      </c>
      <c r="E13" t="s">
        <v>19</v>
      </c>
      <c r="F13" s="5">
        <v>485</v>
      </c>
      <c r="G13" t="s">
        <v>13</v>
      </c>
      <c r="H13" s="5">
        <v>430</v>
      </c>
      <c r="I13" t="s">
        <v>13</v>
      </c>
      <c r="J13" s="5">
        <v>260</v>
      </c>
      <c r="K13" t="s">
        <v>5</v>
      </c>
      <c r="L13" s="5">
        <v>130</v>
      </c>
      <c r="M13" t="s">
        <v>16</v>
      </c>
      <c r="N13" s="5">
        <v>145</v>
      </c>
      <c r="O13" t="s">
        <v>8</v>
      </c>
      <c r="P13" s="5">
        <v>85</v>
      </c>
      <c r="Q13" t="s">
        <v>9</v>
      </c>
      <c r="R13" s="5">
        <v>80</v>
      </c>
      <c r="S13" t="s">
        <v>13</v>
      </c>
      <c r="T13" s="5">
        <v>295</v>
      </c>
      <c r="U13" t="s">
        <v>21</v>
      </c>
      <c r="V13" s="3"/>
    </row>
    <row r="14" spans="1:22" x14ac:dyDescent="0.3">
      <c r="A14" t="s">
        <v>16</v>
      </c>
      <c r="B14" s="4">
        <v>955</v>
      </c>
      <c r="C14" t="s">
        <v>16</v>
      </c>
      <c r="D14" s="5">
        <v>460</v>
      </c>
      <c r="E14" t="s">
        <v>5</v>
      </c>
      <c r="F14" s="5">
        <v>435</v>
      </c>
      <c r="G14" t="s">
        <v>16</v>
      </c>
      <c r="H14" s="5">
        <v>125</v>
      </c>
      <c r="I14" t="s">
        <v>5</v>
      </c>
      <c r="J14" s="5">
        <v>80</v>
      </c>
      <c r="K14" t="s">
        <v>7</v>
      </c>
      <c r="L14" s="5">
        <v>95</v>
      </c>
      <c r="M14" t="s">
        <v>15</v>
      </c>
      <c r="N14" s="5">
        <v>90</v>
      </c>
      <c r="O14" t="s">
        <v>13</v>
      </c>
      <c r="P14" s="5">
        <v>80</v>
      </c>
      <c r="Q14" t="s">
        <v>10</v>
      </c>
      <c r="R14" s="5">
        <v>60</v>
      </c>
      <c r="S14" t="s">
        <v>18</v>
      </c>
      <c r="T14" s="5">
        <v>225</v>
      </c>
      <c r="U14" t="s">
        <v>5</v>
      </c>
      <c r="V14" s="3"/>
    </row>
    <row r="15" spans="1:22" x14ac:dyDescent="0.3">
      <c r="A15" t="s">
        <v>5</v>
      </c>
      <c r="B15" s="5">
        <v>750</v>
      </c>
      <c r="C15" t="s">
        <v>5</v>
      </c>
      <c r="D15" s="5">
        <v>315</v>
      </c>
      <c r="E15" t="s">
        <v>7</v>
      </c>
      <c r="F15" s="5">
        <v>410</v>
      </c>
      <c r="G15" t="s">
        <v>5</v>
      </c>
      <c r="H15" s="5">
        <v>120</v>
      </c>
      <c r="I15" t="s">
        <v>16</v>
      </c>
      <c r="J15" s="5">
        <v>75</v>
      </c>
      <c r="K15" t="s">
        <v>15</v>
      </c>
      <c r="L15" s="5">
        <v>55</v>
      </c>
      <c r="M15" t="s">
        <v>7</v>
      </c>
      <c r="N15" s="5">
        <v>70</v>
      </c>
      <c r="O15" t="s">
        <v>18</v>
      </c>
      <c r="P15" s="5">
        <v>70</v>
      </c>
      <c r="Q15" t="s">
        <v>12</v>
      </c>
      <c r="R15" s="5">
        <v>50</v>
      </c>
      <c r="S15" t="s">
        <v>10</v>
      </c>
      <c r="T15" s="5">
        <v>165</v>
      </c>
      <c r="U15" t="s">
        <v>17</v>
      </c>
      <c r="V15" s="3"/>
    </row>
    <row r="16" spans="1:22" x14ac:dyDescent="0.3">
      <c r="A16" t="s">
        <v>8</v>
      </c>
      <c r="B16" s="5">
        <v>485</v>
      </c>
      <c r="C16" t="s">
        <v>8</v>
      </c>
      <c r="D16" s="5">
        <v>210</v>
      </c>
      <c r="E16" t="s">
        <v>8</v>
      </c>
      <c r="F16" s="5">
        <v>280</v>
      </c>
      <c r="G16" t="s">
        <v>18</v>
      </c>
      <c r="H16" s="5">
        <v>75</v>
      </c>
      <c r="I16" t="s">
        <v>8</v>
      </c>
      <c r="J16" s="5">
        <v>35</v>
      </c>
      <c r="K16" t="s">
        <v>8</v>
      </c>
      <c r="L16" s="5">
        <v>40</v>
      </c>
      <c r="M16" t="s">
        <v>18</v>
      </c>
      <c r="N16" s="5">
        <v>55</v>
      </c>
      <c r="O16" t="s">
        <v>10</v>
      </c>
      <c r="P16" s="5">
        <v>65</v>
      </c>
      <c r="Q16" t="s">
        <v>18</v>
      </c>
      <c r="R16" s="5">
        <v>45</v>
      </c>
      <c r="S16" t="s">
        <v>12</v>
      </c>
      <c r="T16" s="5">
        <v>165</v>
      </c>
      <c r="U16" t="s">
        <v>19</v>
      </c>
      <c r="V16" s="3"/>
    </row>
    <row r="17" spans="1:22" x14ac:dyDescent="0.3">
      <c r="A17" t="s">
        <v>15</v>
      </c>
      <c r="B17" s="5">
        <v>350</v>
      </c>
      <c r="C17" t="s">
        <v>15</v>
      </c>
      <c r="D17" s="4">
        <v>180</v>
      </c>
      <c r="E17" t="s">
        <v>18</v>
      </c>
      <c r="F17" s="5">
        <v>180</v>
      </c>
      <c r="G17" t="s">
        <v>15</v>
      </c>
      <c r="H17" s="4">
        <v>55</v>
      </c>
      <c r="I17" t="s">
        <v>10</v>
      </c>
      <c r="J17" s="5">
        <v>30</v>
      </c>
      <c r="K17" t="s">
        <v>19</v>
      </c>
      <c r="L17" s="5">
        <v>35</v>
      </c>
      <c r="M17" t="s">
        <v>8</v>
      </c>
      <c r="N17" s="5">
        <v>35</v>
      </c>
      <c r="O17" t="s">
        <v>15</v>
      </c>
      <c r="P17" s="4">
        <v>50</v>
      </c>
      <c r="Q17" t="s">
        <v>13</v>
      </c>
      <c r="R17" s="5">
        <v>40</v>
      </c>
      <c r="S17" t="s">
        <v>15</v>
      </c>
      <c r="T17" s="4">
        <v>110</v>
      </c>
      <c r="U17" t="s">
        <v>9</v>
      </c>
      <c r="V17" s="3"/>
    </row>
    <row r="18" spans="1:22" x14ac:dyDescent="0.3">
      <c r="A18" t="s">
        <v>18</v>
      </c>
      <c r="B18" s="5">
        <v>325</v>
      </c>
      <c r="C18" t="s">
        <v>18</v>
      </c>
      <c r="D18" s="5">
        <v>145</v>
      </c>
      <c r="E18" t="s">
        <v>15</v>
      </c>
      <c r="F18" s="4">
        <v>175</v>
      </c>
      <c r="G18" t="s">
        <v>8</v>
      </c>
      <c r="H18" s="5">
        <v>40</v>
      </c>
      <c r="I18" t="s">
        <v>18</v>
      </c>
      <c r="J18" s="5">
        <v>30</v>
      </c>
      <c r="K18" t="s">
        <v>9</v>
      </c>
      <c r="L18" s="5">
        <v>20</v>
      </c>
      <c r="M18" t="s">
        <v>10</v>
      </c>
      <c r="N18" s="5">
        <v>25</v>
      </c>
      <c r="O18" t="s">
        <v>9</v>
      </c>
      <c r="P18" s="5">
        <v>35</v>
      </c>
      <c r="Q18" t="s">
        <v>5</v>
      </c>
      <c r="R18" s="5">
        <v>35</v>
      </c>
      <c r="S18" t="s">
        <v>9</v>
      </c>
      <c r="T18" s="5">
        <v>100</v>
      </c>
      <c r="U18" t="s">
        <v>10</v>
      </c>
      <c r="V18" s="3"/>
    </row>
    <row r="19" spans="1:22" x14ac:dyDescent="0.3">
      <c r="A19" t="s">
        <v>10</v>
      </c>
      <c r="B19" s="5">
        <v>245</v>
      </c>
      <c r="C19" t="s">
        <v>10</v>
      </c>
      <c r="D19" s="5">
        <v>105</v>
      </c>
      <c r="E19" t="s">
        <v>10</v>
      </c>
      <c r="F19" s="5">
        <v>140</v>
      </c>
      <c r="G19" t="s">
        <v>10</v>
      </c>
      <c r="H19" s="5">
        <v>30</v>
      </c>
      <c r="I19" t="s">
        <v>15</v>
      </c>
      <c r="J19" s="4">
        <v>25</v>
      </c>
      <c r="K19" t="s">
        <v>12</v>
      </c>
      <c r="L19" s="5">
        <v>15</v>
      </c>
      <c r="M19" t="s">
        <v>9</v>
      </c>
      <c r="N19" s="5">
        <v>15</v>
      </c>
      <c r="O19" t="s">
        <v>7</v>
      </c>
      <c r="P19" s="5">
        <v>30</v>
      </c>
      <c r="Q19" t="s">
        <v>15</v>
      </c>
      <c r="R19" s="5">
        <v>20</v>
      </c>
      <c r="S19" t="s">
        <v>7</v>
      </c>
      <c r="T19" s="5">
        <v>90</v>
      </c>
      <c r="U19" t="s">
        <v>8</v>
      </c>
      <c r="V19" s="3"/>
    </row>
    <row r="20" spans="1:22" x14ac:dyDescent="0.3">
      <c r="A20" t="s">
        <v>12</v>
      </c>
      <c r="B20" s="5">
        <v>175</v>
      </c>
      <c r="C20" t="s">
        <v>9</v>
      </c>
      <c r="D20" s="5">
        <v>85</v>
      </c>
      <c r="E20" t="s">
        <v>12</v>
      </c>
      <c r="F20" s="5">
        <v>105</v>
      </c>
      <c r="G20" t="s">
        <v>20</v>
      </c>
      <c r="H20" s="5">
        <v>10</v>
      </c>
      <c r="I20" t="s">
        <v>20</v>
      </c>
      <c r="J20" s="5">
        <v>20</v>
      </c>
      <c r="K20" t="s">
        <v>10</v>
      </c>
      <c r="L20" s="5">
        <v>15</v>
      </c>
      <c r="M20" t="s">
        <v>12</v>
      </c>
      <c r="N20" s="5">
        <v>15</v>
      </c>
      <c r="O20" t="s">
        <v>20</v>
      </c>
      <c r="P20" s="5">
        <v>15</v>
      </c>
      <c r="Q20" t="s">
        <v>7</v>
      </c>
      <c r="R20" s="5">
        <v>15</v>
      </c>
      <c r="S20" t="s">
        <v>5</v>
      </c>
      <c r="T20" s="5">
        <v>80</v>
      </c>
      <c r="U20" t="s">
        <v>12</v>
      </c>
      <c r="V20" s="3"/>
    </row>
    <row r="21" spans="1:22" x14ac:dyDescent="0.3">
      <c r="A21" t="s">
        <v>9</v>
      </c>
      <c r="B21" s="5">
        <v>165</v>
      </c>
      <c r="C21" t="s">
        <v>12</v>
      </c>
      <c r="D21" s="5">
        <v>75</v>
      </c>
      <c r="E21" t="s">
        <v>9</v>
      </c>
      <c r="F21" s="5">
        <v>85</v>
      </c>
      <c r="G21" t="s">
        <v>12</v>
      </c>
      <c r="H21" s="5">
        <v>10</v>
      </c>
      <c r="I21" t="s">
        <v>12</v>
      </c>
      <c r="J21" s="5">
        <v>15</v>
      </c>
      <c r="K21" t="s">
        <v>18</v>
      </c>
      <c r="L21" s="5">
        <v>15</v>
      </c>
      <c r="M21" t="s">
        <v>20</v>
      </c>
      <c r="N21" s="5">
        <v>10</v>
      </c>
      <c r="O21" t="s">
        <v>12</v>
      </c>
      <c r="P21" s="5">
        <v>15</v>
      </c>
      <c r="Q21" t="s">
        <v>20</v>
      </c>
      <c r="R21" s="5">
        <v>10</v>
      </c>
      <c r="S21" t="s">
        <v>20</v>
      </c>
      <c r="T21" s="4">
        <v>75</v>
      </c>
      <c r="U21" t="s">
        <v>20</v>
      </c>
      <c r="V21" s="3"/>
    </row>
    <row r="22" spans="1:22" x14ac:dyDescent="0.3">
      <c r="A22" t="s">
        <v>20</v>
      </c>
      <c r="B22" s="5">
        <v>75</v>
      </c>
      <c r="C22" t="s">
        <v>20</v>
      </c>
      <c r="D22" s="5">
        <v>30</v>
      </c>
      <c r="E22" t="s">
        <v>20</v>
      </c>
      <c r="F22" s="5">
        <v>45</v>
      </c>
      <c r="G22" t="s">
        <v>9</v>
      </c>
      <c r="H22" s="5">
        <v>0</v>
      </c>
      <c r="I22" t="s">
        <v>9</v>
      </c>
      <c r="J22" s="5">
        <v>10</v>
      </c>
      <c r="K22" t="s">
        <v>20</v>
      </c>
      <c r="L22" s="5">
        <v>0</v>
      </c>
      <c r="M22" t="s">
        <v>19</v>
      </c>
      <c r="N22" s="5">
        <v>0</v>
      </c>
      <c r="O22" t="s">
        <v>11</v>
      </c>
      <c r="P22" s="5">
        <v>0</v>
      </c>
      <c r="Q22" t="s">
        <v>11</v>
      </c>
      <c r="R22" s="5">
        <v>0</v>
      </c>
      <c r="S22" t="s">
        <v>19</v>
      </c>
      <c r="T22" s="4">
        <v>10</v>
      </c>
      <c r="U22" t="s">
        <v>11</v>
      </c>
      <c r="V22" s="3"/>
    </row>
    <row r="23" spans="1:22" x14ac:dyDescent="0.3">
      <c r="A23" t="s">
        <v>11</v>
      </c>
      <c r="B23" s="5">
        <v>10</v>
      </c>
      <c r="C23" t="s">
        <v>11</v>
      </c>
      <c r="D23" s="5">
        <v>10</v>
      </c>
      <c r="E23" t="s">
        <v>11</v>
      </c>
      <c r="F23" s="5">
        <v>0</v>
      </c>
      <c r="G23" t="s">
        <v>11</v>
      </c>
      <c r="H23" s="5">
        <v>0</v>
      </c>
      <c r="I23" t="s">
        <v>11</v>
      </c>
      <c r="J23" s="5">
        <v>0</v>
      </c>
      <c r="K23" t="s">
        <v>11</v>
      </c>
      <c r="L23" s="5">
        <v>0</v>
      </c>
      <c r="M23" t="s">
        <v>11</v>
      </c>
      <c r="N23" s="5">
        <v>0</v>
      </c>
      <c r="O23" t="s">
        <v>19</v>
      </c>
      <c r="P23" s="5">
        <v>0</v>
      </c>
      <c r="Q23" t="s">
        <v>19</v>
      </c>
      <c r="R23" s="5">
        <v>0</v>
      </c>
      <c r="S23" t="s">
        <v>11</v>
      </c>
      <c r="T23" s="5">
        <v>0</v>
      </c>
      <c r="U23" t="s">
        <v>18</v>
      </c>
      <c r="V23" s="3"/>
    </row>
  </sheetData>
  <sortState xmlns:xlrd2="http://schemas.microsoft.com/office/spreadsheetml/2017/richdata2" ref="S5:T23">
    <sortCondition descending="1" ref="T23"/>
  </sortState>
  <mergeCells count="12">
    <mergeCell ref="U3:V3"/>
    <mergeCell ref="A1:B1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conditionalFormatting sqref="A5:A2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B4 A5:A2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B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6 B10:B13 B15 B2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23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4 C22:D22 C5:C21 C2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D23 C5:C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D18 C20:D20 C19 C22:D22 C21 C23 C5:C1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2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4 E5:E23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F10 E5:E9 E15:F15 E11:E14 E22:F23 E16:E2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2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H5 G15:H22 G6:G14 G2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H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H20 G5:G19 G21:G2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2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J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:J17 I5:I15 I19:J23 I1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J2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2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L23 K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L13 K5:K12 K15:L15 K14 K17:L23 K1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4 M15:N23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2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2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P16 O5:O13 O21:P23 O17:O2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2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:R14 Q5:Q13 Q17:R17 Q15:Q16 Q21:R23 Q18:Q2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2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:T15 S5:S14 S18:T18 S16:S17 S22:T22 S19:S21 S2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2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V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L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L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P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R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Manitoba</vt:lpstr>
      <vt:lpstr>Ontario</vt:lpstr>
      <vt:lpstr>Quebec</vt:lpstr>
      <vt:lpstr>New Brunswick</vt:lpstr>
      <vt:lpstr>PEI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Newton</dc:creator>
  <cp:lastModifiedBy>Ian Newton</cp:lastModifiedBy>
  <dcterms:created xsi:type="dcterms:W3CDTF">2026-01-03T17:35:13Z</dcterms:created>
  <dcterms:modified xsi:type="dcterms:W3CDTF">2026-05-19T02:01:54Z</dcterms:modified>
</cp:coreProperties>
</file>